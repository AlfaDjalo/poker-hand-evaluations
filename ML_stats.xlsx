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Projects\distribution_of_poker_hands\"/>
    </mc:Choice>
  </mc:AlternateContent>
  <xr:revisionPtr revIDLastSave="0" documentId="13_ncr:1_{39062B2A-5461-48F3-9362-E725223873BA}" xr6:coauthVersionLast="47" xr6:coauthVersionMax="47" xr10:uidLastSave="{00000000-0000-0000-0000-000000000000}"/>
  <bookViews>
    <workbookView xWindow="-108" yWindow="-108" windowWidth="23256" windowHeight="12456" firstSheet="5" activeTab="7" xr2:uid="{3B72950D-7CB7-4EF7-9416-DA406D6DC317}"/>
  </bookViews>
  <sheets>
    <sheet name="Sheet1" sheetId="1" r:id="rId1"/>
    <sheet name="Sheet2" sheetId="2" r:id="rId2"/>
    <sheet name="Separate Encoders" sheetId="3" r:id="rId3"/>
    <sheet name="Shared Encoders" sheetId="4" r:id="rId4"/>
    <sheet name="Ace low all suit conv" sheetId="5" r:id="rId5"/>
    <sheet name="Category Training" sheetId="6" r:id="rId6"/>
    <sheet name="Embedding Explain" sheetId="10" r:id="rId7"/>
    <sheet name="Confusion Matrices" sheetId="7" r:id="rId8"/>
    <sheet name="Category Training - Weighted" sheetId="9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9" l="1"/>
  <c r="H11" i="9"/>
  <c r="J10" i="9"/>
  <c r="H10" i="9"/>
  <c r="J9" i="9"/>
  <c r="H9" i="9"/>
  <c r="K48" i="7"/>
  <c r="L47" i="7"/>
  <c r="Q47" i="7" s="1"/>
  <c r="L46" i="7"/>
  <c r="V46" i="7" s="1"/>
  <c r="L45" i="7"/>
  <c r="O45" i="7" s="1"/>
  <c r="L44" i="7"/>
  <c r="O44" i="7" s="1"/>
  <c r="V43" i="7"/>
  <c r="U43" i="7"/>
  <c r="T43" i="7"/>
  <c r="L43" i="7"/>
  <c r="S43" i="7" s="1"/>
  <c r="L42" i="7"/>
  <c r="V42" i="7" s="1"/>
  <c r="L41" i="7"/>
  <c r="U41" i="7" s="1"/>
  <c r="U40" i="7"/>
  <c r="T40" i="7"/>
  <c r="S40" i="7"/>
  <c r="R40" i="7"/>
  <c r="L40" i="7"/>
  <c r="Q40" i="7" s="1"/>
  <c r="L39" i="7"/>
  <c r="Q39" i="7" s="1"/>
  <c r="H8" i="9"/>
  <c r="J8" i="9"/>
  <c r="J7" i="9"/>
  <c r="H7" i="9"/>
  <c r="J6" i="9"/>
  <c r="H6" i="9"/>
  <c r="K36" i="7"/>
  <c r="L35" i="7"/>
  <c r="O35" i="7" s="1"/>
  <c r="T34" i="7"/>
  <c r="Q34" i="7"/>
  <c r="L34" i="7"/>
  <c r="P34" i="7" s="1"/>
  <c r="L33" i="7"/>
  <c r="V33" i="7" s="1"/>
  <c r="L32" i="7"/>
  <c r="N32" i="7" s="1"/>
  <c r="O31" i="7"/>
  <c r="L31" i="7"/>
  <c r="N31" i="7" s="1"/>
  <c r="L30" i="7"/>
  <c r="V30" i="7" s="1"/>
  <c r="L29" i="7"/>
  <c r="U29" i="7" s="1"/>
  <c r="U28" i="7"/>
  <c r="P28" i="7"/>
  <c r="O28" i="7"/>
  <c r="N28" i="7"/>
  <c r="L28" i="7"/>
  <c r="V28" i="7" s="1"/>
  <c r="L27" i="7"/>
  <c r="N27" i="7" s="1"/>
  <c r="H4" i="9"/>
  <c r="H5" i="9"/>
  <c r="K12" i="7"/>
  <c r="K24" i="7"/>
  <c r="S23" i="7"/>
  <c r="R23" i="7"/>
  <c r="Q23" i="7"/>
  <c r="P23" i="7"/>
  <c r="O23" i="7"/>
  <c r="N23" i="7"/>
  <c r="L23" i="7"/>
  <c r="U23" i="7" s="1"/>
  <c r="T22" i="7"/>
  <c r="Q22" i="7"/>
  <c r="L22" i="7"/>
  <c r="O22" i="7" s="1"/>
  <c r="L21" i="7"/>
  <c r="V21" i="7" s="1"/>
  <c r="L20" i="7"/>
  <c r="S20" i="7" s="1"/>
  <c r="V19" i="7"/>
  <c r="U19" i="7"/>
  <c r="T19" i="7"/>
  <c r="S19" i="7"/>
  <c r="R19" i="7"/>
  <c r="P19" i="7"/>
  <c r="O19" i="7"/>
  <c r="N19" i="7"/>
  <c r="L19" i="7"/>
  <c r="Q19" i="7" s="1"/>
  <c r="L18" i="7"/>
  <c r="U18" i="7" s="1"/>
  <c r="U17" i="7"/>
  <c r="T17" i="7"/>
  <c r="S17" i="7"/>
  <c r="R17" i="7"/>
  <c r="L17" i="7"/>
  <c r="Q17" i="7" s="1"/>
  <c r="L16" i="7"/>
  <c r="V16" i="7" s="1"/>
  <c r="L15" i="7"/>
  <c r="U15" i="7" s="1"/>
  <c r="L4" i="7"/>
  <c r="U4" i="7" s="1"/>
  <c r="L5" i="7"/>
  <c r="P5" i="7" s="1"/>
  <c r="L6" i="7"/>
  <c r="P6" i="7" s="1"/>
  <c r="L7" i="7"/>
  <c r="P7" i="7" s="1"/>
  <c r="L8" i="7"/>
  <c r="T8" i="7" s="1"/>
  <c r="L9" i="7"/>
  <c r="N9" i="7" s="1"/>
  <c r="L10" i="7"/>
  <c r="O10" i="7" s="1"/>
  <c r="L11" i="7"/>
  <c r="N11" i="7" s="1"/>
  <c r="L3" i="7"/>
  <c r="N3" i="7" s="1"/>
  <c r="V40" i="7" l="1"/>
  <c r="P45" i="7"/>
  <c r="Q45" i="7"/>
  <c r="N42" i="7"/>
  <c r="O42" i="7"/>
  <c r="R45" i="7"/>
  <c r="P42" i="7"/>
  <c r="S45" i="7"/>
  <c r="Q42" i="7"/>
  <c r="T45" i="7"/>
  <c r="U45" i="7"/>
  <c r="R42" i="7"/>
  <c r="S42" i="7"/>
  <c r="V45" i="7"/>
  <c r="T42" i="7"/>
  <c r="U42" i="7"/>
  <c r="P39" i="7"/>
  <c r="P47" i="7"/>
  <c r="R39" i="7"/>
  <c r="N41" i="7"/>
  <c r="P44" i="7"/>
  <c r="R47" i="7"/>
  <c r="S39" i="7"/>
  <c r="O41" i="7"/>
  <c r="Q44" i="7"/>
  <c r="S47" i="7"/>
  <c r="T39" i="7"/>
  <c r="P41" i="7"/>
  <c r="R44" i="7"/>
  <c r="N46" i="7"/>
  <c r="T47" i="7"/>
  <c r="U39" i="7"/>
  <c r="Q41" i="7"/>
  <c r="S44" i="7"/>
  <c r="O46" i="7"/>
  <c r="U47" i="7"/>
  <c r="V39" i="7"/>
  <c r="R41" i="7"/>
  <c r="N43" i="7"/>
  <c r="T44" i="7"/>
  <c r="P46" i="7"/>
  <c r="V47" i="7"/>
  <c r="S41" i="7"/>
  <c r="O43" i="7"/>
  <c r="U44" i="7"/>
  <c r="Q46" i="7"/>
  <c r="N40" i="7"/>
  <c r="T41" i="7"/>
  <c r="P43" i="7"/>
  <c r="V44" i="7"/>
  <c r="R46" i="7"/>
  <c r="S46" i="7"/>
  <c r="P40" i="7"/>
  <c r="V41" i="7"/>
  <c r="R43" i="7"/>
  <c r="N45" i="7"/>
  <c r="T46" i="7"/>
  <c r="N39" i="7"/>
  <c r="N47" i="7"/>
  <c r="O39" i="7"/>
  <c r="N44" i="7"/>
  <c r="L48" i="7"/>
  <c r="W48" i="7" s="1"/>
  <c r="O40" i="7"/>
  <c r="Q43" i="7"/>
  <c r="U46" i="7"/>
  <c r="O47" i="7"/>
  <c r="S30" i="7"/>
  <c r="N33" i="7"/>
  <c r="Q33" i="7"/>
  <c r="R33" i="7"/>
  <c r="R28" i="7"/>
  <c r="S33" i="7"/>
  <c r="V29" i="7"/>
  <c r="Q28" i="7"/>
  <c r="S28" i="7"/>
  <c r="T33" i="7"/>
  <c r="T28" i="7"/>
  <c r="U33" i="7"/>
  <c r="N34" i="7"/>
  <c r="Q31" i="7"/>
  <c r="S31" i="7"/>
  <c r="T31" i="7"/>
  <c r="R34" i="7"/>
  <c r="U31" i="7"/>
  <c r="S34" i="7"/>
  <c r="U34" i="7"/>
  <c r="N30" i="7"/>
  <c r="V34" i="7"/>
  <c r="V31" i="7"/>
  <c r="P31" i="7"/>
  <c r="R31" i="7"/>
  <c r="O30" i="7"/>
  <c r="P30" i="7"/>
  <c r="O33" i="7"/>
  <c r="N35" i="7"/>
  <c r="L36" i="7"/>
  <c r="W36" i="7" s="1"/>
  <c r="Q30" i="7"/>
  <c r="P33" i="7"/>
  <c r="Q35" i="7"/>
  <c r="R30" i="7"/>
  <c r="P35" i="7"/>
  <c r="Q27" i="7"/>
  <c r="R35" i="7"/>
  <c r="S27" i="7"/>
  <c r="O29" i="7"/>
  <c r="U30" i="7"/>
  <c r="Q32" i="7"/>
  <c r="S35" i="7"/>
  <c r="R27" i="7"/>
  <c r="N29" i="7"/>
  <c r="T30" i="7"/>
  <c r="T27" i="7"/>
  <c r="P29" i="7"/>
  <c r="R32" i="7"/>
  <c r="T35" i="7"/>
  <c r="O27" i="7"/>
  <c r="P27" i="7"/>
  <c r="U27" i="7"/>
  <c r="Q29" i="7"/>
  <c r="S32" i="7"/>
  <c r="O34" i="7"/>
  <c r="U35" i="7"/>
  <c r="O32" i="7"/>
  <c r="P32" i="7"/>
  <c r="V27" i="7"/>
  <c r="R29" i="7"/>
  <c r="T32" i="7"/>
  <c r="V35" i="7"/>
  <c r="S29" i="7"/>
  <c r="U32" i="7"/>
  <c r="T29" i="7"/>
  <c r="V32" i="7"/>
  <c r="P18" i="7"/>
  <c r="T16" i="7"/>
  <c r="R22" i="7"/>
  <c r="S22" i="7"/>
  <c r="O18" i="7"/>
  <c r="P15" i="7"/>
  <c r="S18" i="7"/>
  <c r="R21" i="7"/>
  <c r="V23" i="7"/>
  <c r="T20" i="7"/>
  <c r="O15" i="7"/>
  <c r="R18" i="7"/>
  <c r="Q15" i="7"/>
  <c r="T18" i="7"/>
  <c r="S21" i="7"/>
  <c r="L24" i="7"/>
  <c r="W24" i="7" s="1"/>
  <c r="N15" i="7"/>
  <c r="U20" i="7"/>
  <c r="R15" i="7"/>
  <c r="T21" i="7"/>
  <c r="Q18" i="7"/>
  <c r="V15" i="7"/>
  <c r="P22" i="7"/>
  <c r="N10" i="7"/>
  <c r="N6" i="7"/>
  <c r="S9" i="7"/>
  <c r="V11" i="7"/>
  <c r="R9" i="7"/>
  <c r="U11" i="7"/>
  <c r="Q9" i="7"/>
  <c r="V10" i="7"/>
  <c r="P9" i="7"/>
  <c r="U9" i="7"/>
  <c r="O9" i="7"/>
  <c r="V8" i="7"/>
  <c r="S8" i="7"/>
  <c r="R8" i="7"/>
  <c r="Q8" i="7"/>
  <c r="T3" i="7"/>
  <c r="P8" i="7"/>
  <c r="S3" i="7"/>
  <c r="O8" i="7"/>
  <c r="R3" i="7"/>
  <c r="N8" i="7"/>
  <c r="Q3" i="7"/>
  <c r="Q7" i="7"/>
  <c r="P3" i="7"/>
  <c r="O7" i="7"/>
  <c r="N7" i="7"/>
  <c r="L12" i="7"/>
  <c r="W12" i="7" s="1"/>
  <c r="O3" i="7"/>
  <c r="T10" i="7"/>
  <c r="O6" i="7"/>
  <c r="V20" i="7"/>
  <c r="P16" i="7"/>
  <c r="V17" i="7"/>
  <c r="N21" i="7"/>
  <c r="Q16" i="7"/>
  <c r="O21" i="7"/>
  <c r="U22" i="7"/>
  <c r="R16" i="7"/>
  <c r="N18" i="7"/>
  <c r="P21" i="7"/>
  <c r="V22" i="7"/>
  <c r="N16" i="7"/>
  <c r="O16" i="7"/>
  <c r="S16" i="7"/>
  <c r="Q21" i="7"/>
  <c r="T15" i="7"/>
  <c r="P17" i="7"/>
  <c r="V18" i="7"/>
  <c r="R20" i="7"/>
  <c r="N22" i="7"/>
  <c r="T23" i="7"/>
  <c r="U16" i="7"/>
  <c r="N20" i="7"/>
  <c r="O20" i="7"/>
  <c r="U21" i="7"/>
  <c r="N17" i="7"/>
  <c r="P20" i="7"/>
  <c r="S15" i="7"/>
  <c r="O17" i="7"/>
  <c r="Q20" i="7"/>
  <c r="T11" i="7"/>
  <c r="S11" i="7"/>
  <c r="U10" i="7"/>
  <c r="V9" i="7"/>
  <c r="Q10" i="7"/>
  <c r="T7" i="7"/>
  <c r="U8" i="7"/>
  <c r="S10" i="7"/>
  <c r="P10" i="7"/>
  <c r="S7" i="7"/>
  <c r="V7" i="7"/>
  <c r="R10" i="7"/>
  <c r="R7" i="7"/>
  <c r="U7" i="7"/>
  <c r="V3" i="7"/>
  <c r="T9" i="7"/>
  <c r="U3" i="7"/>
  <c r="T5" i="7"/>
  <c r="S5" i="7"/>
  <c r="O5" i="7"/>
  <c r="N5" i="7"/>
  <c r="R11" i="7"/>
  <c r="V6" i="7"/>
  <c r="Q11" i="7"/>
  <c r="T6" i="7"/>
  <c r="R4" i="7"/>
  <c r="U6" i="7"/>
  <c r="P11" i="7"/>
  <c r="S6" i="7"/>
  <c r="Q4" i="7"/>
  <c r="V5" i="7"/>
  <c r="O11" i="7"/>
  <c r="R6" i="7"/>
  <c r="P4" i="7"/>
  <c r="U5" i="7"/>
  <c r="R5" i="7"/>
  <c r="Q5" i="7"/>
  <c r="T4" i="7"/>
  <c r="S4" i="7"/>
  <c r="Q6" i="7"/>
  <c r="O4" i="7"/>
  <c r="V4" i="7"/>
  <c r="N4" i="7"/>
</calcChain>
</file>

<file path=xl/sharedStrings.xml><?xml version="1.0" encoding="utf-8"?>
<sst xmlns="http://schemas.openxmlformats.org/spreadsheetml/2006/main" count="415" uniqueCount="89">
  <si>
    <t>M2</t>
  </si>
  <si>
    <t>M1</t>
  </si>
  <si>
    <t>M3</t>
  </si>
  <si>
    <t>GE/CNN/D128</t>
  </si>
  <si>
    <t>GE/CNN/D256/D64</t>
  </si>
  <si>
    <t>CNN/D128</t>
  </si>
  <si>
    <t>Acc</t>
  </si>
  <si>
    <t>MAE</t>
  </si>
  <si>
    <t>MSE</t>
  </si>
  <si>
    <t>Steps / Epoch</t>
  </si>
  <si>
    <t>Epochs</t>
  </si>
  <si>
    <t>M4</t>
  </si>
  <si>
    <t>GE/CNN/D256/D64 separate hand/board/combined</t>
  </si>
  <si>
    <t>M4 + dropout between D1 and D2.</t>
  </si>
  <si>
    <t>M5</t>
  </si>
  <si>
    <t>16 dim embeddings</t>
  </si>
  <si>
    <t>32 dim embeddings</t>
  </si>
  <si>
    <t>64 dim embeddings</t>
  </si>
  <si>
    <t>Nan ?</t>
  </si>
  <si>
    <t>Training</t>
  </si>
  <si>
    <t>Absolute</t>
  </si>
  <si>
    <t>Alternating</t>
  </si>
  <si>
    <t>Mix</t>
  </si>
  <si>
    <t>BCE Loss</t>
  </si>
  <si>
    <t>Comments</t>
  </si>
  <si>
    <t>Confidence for predictions really high in sample.</t>
  </si>
  <si>
    <t>Encoder loaded ?</t>
  </si>
  <si>
    <t>Encoder Epochs</t>
  </si>
  <si>
    <t>Head loaded ?</t>
  </si>
  <si>
    <t>Head Epochs</t>
  </si>
  <si>
    <t>25 abs/25 alt</t>
  </si>
  <si>
    <t>50 abs/25 alt</t>
  </si>
  <si>
    <t>50 abs/50 alt</t>
  </si>
  <si>
    <t>75 abs/50 alt</t>
  </si>
  <si>
    <t>75 abs/75 alt</t>
  </si>
  <si>
    <t>100 abs/75 alt</t>
  </si>
  <si>
    <t>100 abs/100 alt</t>
  </si>
  <si>
    <t>200 abs/100 alt</t>
  </si>
  <si>
    <t>200 abs/ 200 alt</t>
  </si>
  <si>
    <t>300 abs / 200 alt</t>
  </si>
  <si>
    <t>300 abs / 300 alt</t>
  </si>
  <si>
    <t>400 abs / 300 alt</t>
  </si>
  <si>
    <t>400 / 400</t>
  </si>
  <si>
    <t>500 / 400</t>
  </si>
  <si>
    <t>500 / 500</t>
  </si>
  <si>
    <t>600 / 500</t>
  </si>
  <si>
    <t>600 / 600</t>
  </si>
  <si>
    <t>700 / 600</t>
  </si>
  <si>
    <t>Learning Rate</t>
  </si>
  <si>
    <t>700 / 700</t>
  </si>
  <si>
    <t>800 / 700</t>
  </si>
  <si>
    <t>800 / 800</t>
  </si>
  <si>
    <t>900 / 800</t>
  </si>
  <si>
    <t>900 / 900</t>
  </si>
  <si>
    <t>1000 / 900</t>
  </si>
  <si>
    <t>1000 / 1000</t>
  </si>
  <si>
    <t>MSE / BCE</t>
  </si>
  <si>
    <t>Time</t>
  </si>
  <si>
    <t>N/A</t>
  </si>
  <si>
    <t>The sample shows a lot of predictions just above / below 50%.</t>
  </si>
  <si>
    <t>Computer shut down</t>
  </si>
  <si>
    <t>Category</t>
  </si>
  <si>
    <t>SF</t>
  </si>
  <si>
    <t>Q</t>
  </si>
  <si>
    <t>FH</t>
  </si>
  <si>
    <t>F</t>
  </si>
  <si>
    <t>S</t>
  </si>
  <si>
    <t>T</t>
  </si>
  <si>
    <t>TP</t>
  </si>
  <si>
    <t>OP</t>
  </si>
  <si>
    <t>NP</t>
  </si>
  <si>
    <t>Actual Epochs</t>
  </si>
  <si>
    <t>Combos</t>
  </si>
  <si>
    <t>Computer shut down.</t>
  </si>
  <si>
    <t>Meaning</t>
  </si>
  <si>
    <t>Flush</t>
  </si>
  <si>
    <t>Straight</t>
  </si>
  <si>
    <t>Pair</t>
  </si>
  <si>
    <t>Small</t>
  </si>
  <si>
    <t>Nothing</t>
  </si>
  <si>
    <t>Small negative</t>
  </si>
  <si>
    <t>Medium negative</t>
  </si>
  <si>
    <t>Medium</t>
  </si>
  <si>
    <t>Trips</t>
  </si>
  <si>
    <t>Quadness</t>
  </si>
  <si>
    <t>Small ?</t>
  </si>
  <si>
    <t>Medium negative ?</t>
  </si>
  <si>
    <t>Medium ?</t>
  </si>
  <si>
    <t>Worse on rare classes, particularly straights and flushes. Better on two pair and no pair.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</si>
</sst>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0%"/>
    <numFmt numFmtId="165" formatCode="0.000000"/>
    <numFmt numFmtId="168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quotePrefix="1"/>
    <xf numFmtId="10" fontId="0" fillId="0" borderId="0" xfId="1" applyNumberFormat="1" applyFont="1"/>
    <xf numFmtId="164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1" fontId="0" fillId="0" borderId="0" xfId="0" applyNumberFormat="1"/>
    <xf numFmtId="168" fontId="0" fillId="0" borderId="0" xfId="2" applyNumberFormat="1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B80C3-965F-45F7-84CB-D7EDC566C57F}">
  <dimension ref="C4:I15"/>
  <sheetViews>
    <sheetView workbookViewId="0">
      <selection activeCell="E4" sqref="E4:J6"/>
    </sheetView>
  </sheetViews>
  <sheetFormatPr defaultRowHeight="14.4" x14ac:dyDescent="0.3"/>
  <cols>
    <col min="4" max="4" width="44" bestFit="1" customWidth="1"/>
  </cols>
  <sheetData>
    <row r="4" spans="3:9" x14ac:dyDescent="0.3">
      <c r="E4" t="s">
        <v>6</v>
      </c>
      <c r="F4" t="s">
        <v>7</v>
      </c>
      <c r="G4" t="s">
        <v>8</v>
      </c>
      <c r="H4" t="s">
        <v>9</v>
      </c>
      <c r="I4" t="s">
        <v>10</v>
      </c>
    </row>
    <row r="5" spans="3:9" x14ac:dyDescent="0.3">
      <c r="C5" t="s">
        <v>1</v>
      </c>
      <c r="D5" t="s">
        <v>5</v>
      </c>
    </row>
    <row r="6" spans="3:9" x14ac:dyDescent="0.3">
      <c r="C6" t="s">
        <v>0</v>
      </c>
      <c r="D6" s="1" t="s">
        <v>3</v>
      </c>
      <c r="E6" s="2">
        <v>0.99909999999999999</v>
      </c>
      <c r="F6" s="2">
        <v>1.4041E-2</v>
      </c>
      <c r="G6" s="3">
        <v>2.5999999999999998E-4</v>
      </c>
      <c r="H6">
        <v>500</v>
      </c>
      <c r="I6">
        <v>100</v>
      </c>
    </row>
    <row r="7" spans="3:9" x14ac:dyDescent="0.3">
      <c r="C7" t="s">
        <v>2</v>
      </c>
      <c r="D7" s="1" t="s">
        <v>4</v>
      </c>
      <c r="E7" s="2">
        <v>0.99960000000000004</v>
      </c>
      <c r="F7" s="2">
        <v>5.7600000000000004E-3</v>
      </c>
      <c r="G7" s="3">
        <v>5.3000000000000001E-5</v>
      </c>
      <c r="H7">
        <v>500</v>
      </c>
      <c r="I7">
        <v>100</v>
      </c>
    </row>
    <row r="8" spans="3:9" x14ac:dyDescent="0.3">
      <c r="C8" t="s">
        <v>11</v>
      </c>
      <c r="D8" t="s">
        <v>12</v>
      </c>
      <c r="E8" s="2">
        <v>0.99960000000000004</v>
      </c>
      <c r="F8" s="2">
        <v>4.3889999999999997E-3</v>
      </c>
      <c r="G8" s="3">
        <v>3.0000000000000001E-5</v>
      </c>
      <c r="H8">
        <v>500</v>
      </c>
      <c r="I8">
        <v>100</v>
      </c>
    </row>
    <row r="9" spans="3:9" x14ac:dyDescent="0.3">
      <c r="C9" t="s">
        <v>14</v>
      </c>
      <c r="D9" t="s">
        <v>13</v>
      </c>
      <c r="E9" s="2">
        <v>0.99950000000000006</v>
      </c>
      <c r="F9" s="2">
        <v>6.4479999999999997E-3</v>
      </c>
      <c r="G9" s="3">
        <v>7.6000000000000004E-5</v>
      </c>
      <c r="H9">
        <v>500</v>
      </c>
      <c r="I9">
        <v>100</v>
      </c>
    </row>
    <row r="13" spans="3:9" x14ac:dyDescent="0.3">
      <c r="D13" t="s">
        <v>15</v>
      </c>
      <c r="E13" s="4">
        <v>0.8629</v>
      </c>
      <c r="F13" s="2">
        <v>1.7444999999999999E-2</v>
      </c>
      <c r="G13" s="3">
        <v>9.7689999999999999E-3</v>
      </c>
      <c r="H13">
        <v>500</v>
      </c>
      <c r="I13">
        <v>100</v>
      </c>
    </row>
    <row r="14" spans="3:9" x14ac:dyDescent="0.3">
      <c r="D14" t="s">
        <v>16</v>
      </c>
      <c r="E14" s="2">
        <v>0.87139999999999995</v>
      </c>
      <c r="F14" s="2">
        <v>1.7144E-2</v>
      </c>
      <c r="G14" s="3">
        <v>9.4999999999999998E-3</v>
      </c>
      <c r="H14">
        <v>500</v>
      </c>
      <c r="I14">
        <v>100</v>
      </c>
    </row>
    <row r="15" spans="3:9" x14ac:dyDescent="0.3">
      <c r="D15" t="s">
        <v>17</v>
      </c>
      <c r="E15" t="s">
        <v>18</v>
      </c>
      <c r="F15" s="2">
        <v>0.226323</v>
      </c>
      <c r="G15" s="3">
        <v>8.3122000000000001E-2</v>
      </c>
      <c r="H15">
        <v>500</v>
      </c>
      <c r="I15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4B5BD-DD23-4363-9555-D1EA51E4C49E}">
  <dimension ref="A1:K44"/>
  <sheetViews>
    <sheetView workbookViewId="0">
      <selection activeCell="G33" sqref="G33"/>
    </sheetView>
  </sheetViews>
  <sheetFormatPr defaultRowHeight="14.4" x14ac:dyDescent="0.3"/>
  <cols>
    <col min="1" max="1" width="9.88671875" bestFit="1" customWidth="1"/>
    <col min="2" max="2" width="8.88671875" style="2"/>
  </cols>
  <sheetData>
    <row r="1" spans="1:11" x14ac:dyDescent="0.3">
      <c r="A1" t="s">
        <v>19</v>
      </c>
      <c r="B1" s="2" t="s">
        <v>6</v>
      </c>
      <c r="C1" t="s">
        <v>7</v>
      </c>
      <c r="D1" t="s">
        <v>8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</row>
    <row r="2" spans="1:11" x14ac:dyDescent="0.3">
      <c r="A2" t="s">
        <v>20</v>
      </c>
      <c r="B2" s="2">
        <v>0.99160000000000004</v>
      </c>
      <c r="C2" s="3">
        <v>8.8140000000000007E-5</v>
      </c>
      <c r="D2" s="3">
        <v>7.17E-6</v>
      </c>
      <c r="E2">
        <v>500</v>
      </c>
      <c r="F2">
        <v>100</v>
      </c>
      <c r="G2" t="b">
        <v>0</v>
      </c>
      <c r="H2">
        <v>0</v>
      </c>
      <c r="I2" t="b">
        <v>0</v>
      </c>
      <c r="J2">
        <v>0</v>
      </c>
    </row>
    <row r="4" spans="1:11" x14ac:dyDescent="0.3">
      <c r="A4" t="s">
        <v>20</v>
      </c>
      <c r="B4" s="2">
        <v>0.66930000000000001</v>
      </c>
      <c r="C4" s="3">
        <v>2.4374800000000001E-3</v>
      </c>
      <c r="D4" s="3">
        <v>9.9641000000000009E-4</v>
      </c>
      <c r="E4">
        <v>500</v>
      </c>
      <c r="F4">
        <v>5</v>
      </c>
      <c r="G4" t="b">
        <v>0</v>
      </c>
      <c r="H4">
        <v>0</v>
      </c>
      <c r="I4" t="b">
        <v>0</v>
      </c>
      <c r="J4">
        <v>0</v>
      </c>
    </row>
    <row r="5" spans="1:11" x14ac:dyDescent="0.3">
      <c r="A5" t="s">
        <v>20</v>
      </c>
      <c r="B5" s="2">
        <v>0.71960000000000002</v>
      </c>
      <c r="C5" s="3">
        <v>2.4466399999999999E-3</v>
      </c>
      <c r="D5" s="3">
        <v>1.00501E-3</v>
      </c>
      <c r="E5">
        <v>500</v>
      </c>
      <c r="F5">
        <v>5</v>
      </c>
      <c r="G5" t="b">
        <v>1</v>
      </c>
      <c r="H5">
        <v>5</v>
      </c>
      <c r="I5" t="b">
        <v>1</v>
      </c>
      <c r="J5">
        <v>5</v>
      </c>
    </row>
    <row r="6" spans="1:11" x14ac:dyDescent="0.3">
      <c r="C6" s="3"/>
      <c r="D6" s="3"/>
    </row>
    <row r="7" spans="1:11" x14ac:dyDescent="0.3">
      <c r="A7" t="s">
        <v>20</v>
      </c>
      <c r="B7" s="2">
        <v>0.96860000000000002</v>
      </c>
      <c r="C7" s="3">
        <v>4.9401E-2</v>
      </c>
      <c r="D7" s="3">
        <v>5.012E-3</v>
      </c>
      <c r="E7">
        <v>500</v>
      </c>
      <c r="F7">
        <v>25</v>
      </c>
      <c r="G7" t="b">
        <v>1</v>
      </c>
      <c r="H7">
        <v>0</v>
      </c>
      <c r="I7" t="b">
        <v>1</v>
      </c>
      <c r="J7">
        <v>0</v>
      </c>
    </row>
    <row r="8" spans="1:11" x14ac:dyDescent="0.3">
      <c r="A8" t="s">
        <v>20</v>
      </c>
      <c r="B8" s="2">
        <v>0.98309999999999997</v>
      </c>
      <c r="C8" s="3">
        <v>1.1351999999999999E-2</v>
      </c>
      <c r="D8" s="3">
        <v>1.3320000000000001E-3</v>
      </c>
      <c r="E8">
        <v>500</v>
      </c>
      <c r="F8">
        <v>25</v>
      </c>
      <c r="G8" t="b">
        <v>1</v>
      </c>
      <c r="H8" t="s">
        <v>30</v>
      </c>
      <c r="I8" t="b">
        <v>1</v>
      </c>
      <c r="J8">
        <v>25</v>
      </c>
    </row>
    <row r="9" spans="1:11" x14ac:dyDescent="0.3">
      <c r="A9" t="s">
        <v>20</v>
      </c>
      <c r="B9" s="2">
        <v>0.99099999999999999</v>
      </c>
      <c r="C9" s="3">
        <v>7.541E-3</v>
      </c>
      <c r="D9" s="3">
        <v>6.8900000000000005E-4</v>
      </c>
      <c r="E9">
        <v>500</v>
      </c>
      <c r="F9">
        <v>25</v>
      </c>
      <c r="G9" t="b">
        <v>1</v>
      </c>
      <c r="H9" t="s">
        <v>32</v>
      </c>
      <c r="I9" t="b">
        <v>1</v>
      </c>
      <c r="J9">
        <v>50</v>
      </c>
    </row>
    <row r="10" spans="1:11" x14ac:dyDescent="0.3">
      <c r="A10" t="s">
        <v>20</v>
      </c>
      <c r="B10" s="2">
        <v>0.99</v>
      </c>
      <c r="C10" s="3">
        <v>1.0269E-2</v>
      </c>
      <c r="D10" s="3">
        <v>7.3699999999999998E-3</v>
      </c>
      <c r="E10">
        <v>500</v>
      </c>
      <c r="F10">
        <v>25</v>
      </c>
      <c r="G10" t="b">
        <v>1</v>
      </c>
      <c r="H10" t="s">
        <v>34</v>
      </c>
      <c r="I10" t="b">
        <v>1</v>
      </c>
      <c r="J10">
        <v>75</v>
      </c>
    </row>
    <row r="11" spans="1:11" x14ac:dyDescent="0.3">
      <c r="A11" t="s">
        <v>20</v>
      </c>
      <c r="B11" s="2">
        <v>0.97719999999999996</v>
      </c>
      <c r="C11" s="3">
        <v>9.1179999999999994E-3</v>
      </c>
      <c r="D11" s="3">
        <v>1.921E-3</v>
      </c>
      <c r="E11">
        <v>500</v>
      </c>
      <c r="F11">
        <v>100</v>
      </c>
      <c r="G11" t="b">
        <v>1</v>
      </c>
      <c r="H11" t="s">
        <v>36</v>
      </c>
      <c r="I11" t="b">
        <v>1</v>
      </c>
      <c r="J11">
        <v>100</v>
      </c>
    </row>
    <row r="12" spans="1:11" x14ac:dyDescent="0.3">
      <c r="A12" t="s">
        <v>20</v>
      </c>
      <c r="B12" s="2">
        <v>0.9748</v>
      </c>
      <c r="C12" s="3">
        <v>1.1558000000000001E-2</v>
      </c>
      <c r="D12" s="3">
        <v>1.9009999999999999E-3</v>
      </c>
      <c r="E12">
        <v>500</v>
      </c>
      <c r="F12">
        <v>100</v>
      </c>
      <c r="G12" t="b">
        <v>1</v>
      </c>
      <c r="H12" t="s">
        <v>38</v>
      </c>
      <c r="I12" t="b">
        <v>1</v>
      </c>
      <c r="J12">
        <v>200</v>
      </c>
    </row>
    <row r="13" spans="1:11" x14ac:dyDescent="0.3">
      <c r="A13" t="s">
        <v>20</v>
      </c>
      <c r="B13" s="2">
        <v>0.99160000000000004</v>
      </c>
      <c r="C13" s="3">
        <v>5.6610000000000002E-3</v>
      </c>
      <c r="D13" s="3">
        <v>6.4599999999999998E-4</v>
      </c>
      <c r="E13">
        <v>500</v>
      </c>
      <c r="F13">
        <v>100</v>
      </c>
      <c r="G13" t="b">
        <v>1</v>
      </c>
      <c r="H13" t="s">
        <v>40</v>
      </c>
      <c r="I13" t="b">
        <v>1</v>
      </c>
      <c r="J13">
        <v>300</v>
      </c>
    </row>
    <row r="14" spans="1:11" x14ac:dyDescent="0.3">
      <c r="A14" t="s">
        <v>20</v>
      </c>
      <c r="B14" s="2">
        <v>0.99909999999999999</v>
      </c>
      <c r="C14" s="3">
        <v>6.019E-3</v>
      </c>
      <c r="D14" s="3">
        <v>7.2999999999999999E-5</v>
      </c>
      <c r="E14">
        <v>500</v>
      </c>
      <c r="F14">
        <v>100</v>
      </c>
      <c r="G14" t="b">
        <v>1</v>
      </c>
      <c r="H14" t="s">
        <v>42</v>
      </c>
      <c r="I14" t="b">
        <v>1</v>
      </c>
      <c r="J14">
        <v>400</v>
      </c>
    </row>
    <row r="15" spans="1:11" x14ac:dyDescent="0.3">
      <c r="A15" t="s">
        <v>20</v>
      </c>
      <c r="B15" s="2">
        <v>0.99150000000000005</v>
      </c>
      <c r="C15" s="3">
        <v>5.9630000000000004E-3</v>
      </c>
      <c r="D15" s="3">
        <v>6.6100000000000002E-4</v>
      </c>
      <c r="E15">
        <v>500</v>
      </c>
      <c r="F15">
        <v>100</v>
      </c>
      <c r="G15" t="b">
        <v>1</v>
      </c>
      <c r="H15" t="s">
        <v>44</v>
      </c>
      <c r="I15" t="b">
        <v>1</v>
      </c>
      <c r="J15">
        <v>500</v>
      </c>
    </row>
    <row r="16" spans="1:11" x14ac:dyDescent="0.3">
      <c r="A16" t="s">
        <v>20</v>
      </c>
      <c r="B16" s="2">
        <v>0.98380000000000001</v>
      </c>
      <c r="C16" s="3">
        <v>6.2430000000000003E-3</v>
      </c>
      <c r="D16" s="3">
        <v>1.2489999999999999E-3</v>
      </c>
      <c r="E16">
        <v>500</v>
      </c>
      <c r="F16">
        <v>100</v>
      </c>
      <c r="G16" t="b">
        <v>1</v>
      </c>
      <c r="H16" t="s">
        <v>46</v>
      </c>
      <c r="I16" t="b">
        <v>1</v>
      </c>
      <c r="J16">
        <v>600</v>
      </c>
      <c r="K16">
        <v>6</v>
      </c>
    </row>
    <row r="17" spans="1:11" x14ac:dyDescent="0.3">
      <c r="A17" t="s">
        <v>20</v>
      </c>
      <c r="B17" s="2">
        <v>0.98409999999999997</v>
      </c>
      <c r="C17" s="3">
        <v>6.9449999999999998E-3</v>
      </c>
      <c r="D17" s="3">
        <v>1.237E-3</v>
      </c>
      <c r="E17">
        <v>500</v>
      </c>
      <c r="F17">
        <v>100</v>
      </c>
      <c r="G17" t="b">
        <v>1</v>
      </c>
      <c r="H17" t="s">
        <v>49</v>
      </c>
      <c r="I17" t="b">
        <v>1</v>
      </c>
      <c r="J17">
        <v>700</v>
      </c>
      <c r="K17">
        <v>5</v>
      </c>
    </row>
    <row r="18" spans="1:11" x14ac:dyDescent="0.3">
      <c r="A18" t="s">
        <v>20</v>
      </c>
      <c r="B18" s="2">
        <v>0.97729999999999995</v>
      </c>
      <c r="C18" s="3">
        <v>7.3959999999999998E-3</v>
      </c>
      <c r="D18" s="3">
        <v>1.817E-3</v>
      </c>
      <c r="E18">
        <v>500</v>
      </c>
      <c r="F18">
        <v>100</v>
      </c>
      <c r="G18" t="b">
        <v>1</v>
      </c>
      <c r="H18" t="s">
        <v>51</v>
      </c>
      <c r="I18" t="b">
        <v>1</v>
      </c>
      <c r="J18">
        <v>800</v>
      </c>
      <c r="K18">
        <v>5</v>
      </c>
    </row>
    <row r="19" spans="1:11" x14ac:dyDescent="0.3">
      <c r="A19" t="s">
        <v>20</v>
      </c>
      <c r="B19" s="2">
        <v>0.99160000000000004</v>
      </c>
      <c r="C19" s="3">
        <v>5.7970000000000001E-3</v>
      </c>
      <c r="D19" s="3">
        <v>6.3699999999999998E-4</v>
      </c>
      <c r="E19">
        <v>500</v>
      </c>
      <c r="F19">
        <v>100</v>
      </c>
      <c r="G19" t="b">
        <v>1</v>
      </c>
      <c r="H19" t="s">
        <v>53</v>
      </c>
      <c r="I19" t="b">
        <v>1</v>
      </c>
      <c r="J19">
        <v>900</v>
      </c>
      <c r="K19">
        <v>5</v>
      </c>
    </row>
    <row r="20" spans="1:11" x14ac:dyDescent="0.3">
      <c r="C20" s="3"/>
      <c r="D20" s="3"/>
    </row>
    <row r="21" spans="1:11" x14ac:dyDescent="0.3">
      <c r="C21" s="3"/>
      <c r="D21" s="3"/>
    </row>
    <row r="22" spans="1:11" x14ac:dyDescent="0.3">
      <c r="C22" s="3"/>
      <c r="D22" s="3"/>
    </row>
    <row r="24" spans="1:11" x14ac:dyDescent="0.3">
      <c r="A24" t="s">
        <v>19</v>
      </c>
      <c r="B24" s="2" t="s">
        <v>6</v>
      </c>
      <c r="C24" t="s">
        <v>23</v>
      </c>
      <c r="J24" t="s">
        <v>48</v>
      </c>
      <c r="K24" t="s">
        <v>24</v>
      </c>
    </row>
    <row r="25" spans="1:11" x14ac:dyDescent="0.3">
      <c r="A25" t="s">
        <v>21</v>
      </c>
      <c r="B25" s="2">
        <v>0.98829999999999996</v>
      </c>
      <c r="C25">
        <v>3.8953000000000002E-2</v>
      </c>
      <c r="E25">
        <v>500</v>
      </c>
      <c r="F25">
        <v>100</v>
      </c>
      <c r="G25" t="b">
        <v>0</v>
      </c>
      <c r="I25" t="b">
        <v>0</v>
      </c>
    </row>
    <row r="26" spans="1:11" x14ac:dyDescent="0.3">
      <c r="A26" t="s">
        <v>22</v>
      </c>
      <c r="B26" s="2">
        <v>0.98929999999999996</v>
      </c>
      <c r="C26">
        <v>5.3205000000000002E-2</v>
      </c>
      <c r="E26">
        <v>500</v>
      </c>
      <c r="F26">
        <v>100</v>
      </c>
      <c r="G26" t="b">
        <v>0</v>
      </c>
      <c r="I26" t="b">
        <v>0</v>
      </c>
      <c r="K26" t="s">
        <v>25</v>
      </c>
    </row>
    <row r="28" spans="1:11" x14ac:dyDescent="0.3">
      <c r="A28" t="s">
        <v>21</v>
      </c>
      <c r="B28" s="2">
        <v>0.65529999999999999</v>
      </c>
      <c r="C28" s="5">
        <v>0.986765</v>
      </c>
      <c r="E28">
        <v>500</v>
      </c>
      <c r="F28">
        <v>5</v>
      </c>
      <c r="G28" t="b">
        <v>0</v>
      </c>
      <c r="I28" t="b">
        <v>0</v>
      </c>
    </row>
    <row r="29" spans="1:11" x14ac:dyDescent="0.3">
      <c r="A29" t="s">
        <v>21</v>
      </c>
      <c r="B29" s="2">
        <v>0.4219</v>
      </c>
      <c r="C29" s="5">
        <v>3.795455</v>
      </c>
      <c r="E29">
        <v>500</v>
      </c>
      <c r="F29">
        <v>5</v>
      </c>
      <c r="G29" t="b">
        <v>1</v>
      </c>
      <c r="H29">
        <v>5</v>
      </c>
      <c r="I29" t="b">
        <v>1</v>
      </c>
      <c r="J29">
        <v>5</v>
      </c>
    </row>
    <row r="30" spans="1:11" x14ac:dyDescent="0.3">
      <c r="C30" s="5"/>
    </row>
    <row r="31" spans="1:11" x14ac:dyDescent="0.3">
      <c r="A31" t="s">
        <v>21</v>
      </c>
      <c r="B31" s="2">
        <v>0.98929999999999996</v>
      </c>
      <c r="C31" s="5">
        <v>2.9286E-2</v>
      </c>
      <c r="E31">
        <v>500</v>
      </c>
      <c r="F31">
        <v>25</v>
      </c>
      <c r="G31" t="b">
        <v>1</v>
      </c>
      <c r="H31">
        <v>25</v>
      </c>
      <c r="I31" t="b">
        <v>0</v>
      </c>
    </row>
    <row r="32" spans="1:11" x14ac:dyDescent="0.3">
      <c r="A32" t="s">
        <v>21</v>
      </c>
      <c r="B32" s="2">
        <v>0.97850000000000004</v>
      </c>
      <c r="C32" s="5">
        <v>0.10439</v>
      </c>
      <c r="E32">
        <v>500</v>
      </c>
      <c r="F32">
        <v>25</v>
      </c>
      <c r="G32" t="b">
        <v>1</v>
      </c>
      <c r="H32" t="s">
        <v>31</v>
      </c>
      <c r="I32" t="b">
        <v>1</v>
      </c>
      <c r="J32">
        <v>25</v>
      </c>
    </row>
    <row r="33" spans="1:11" x14ac:dyDescent="0.3">
      <c r="A33" t="s">
        <v>21</v>
      </c>
      <c r="B33" s="2">
        <v>0.63180000000000003</v>
      </c>
      <c r="C33" s="5">
        <v>1.763279</v>
      </c>
      <c r="E33">
        <v>500</v>
      </c>
      <c r="F33">
        <v>25</v>
      </c>
      <c r="G33" t="b">
        <v>1</v>
      </c>
      <c r="H33" t="s">
        <v>33</v>
      </c>
      <c r="I33" t="b">
        <v>1</v>
      </c>
      <c r="J33">
        <v>50</v>
      </c>
    </row>
    <row r="34" spans="1:11" x14ac:dyDescent="0.3">
      <c r="A34" t="s">
        <v>21</v>
      </c>
      <c r="B34" s="2">
        <v>0.69820000000000004</v>
      </c>
      <c r="C34" s="5">
        <v>0.86337299999999995</v>
      </c>
      <c r="E34">
        <v>500</v>
      </c>
      <c r="F34">
        <v>25</v>
      </c>
      <c r="G34" t="b">
        <v>1</v>
      </c>
      <c r="H34" t="s">
        <v>35</v>
      </c>
      <c r="I34" t="b">
        <v>1</v>
      </c>
      <c r="J34">
        <v>75</v>
      </c>
    </row>
    <row r="35" spans="1:11" x14ac:dyDescent="0.3">
      <c r="A35" t="s">
        <v>21</v>
      </c>
      <c r="B35" s="2">
        <v>0.88959999999999995</v>
      </c>
      <c r="C35" s="5">
        <v>0.202794</v>
      </c>
      <c r="E35">
        <v>500</v>
      </c>
      <c r="F35">
        <v>100</v>
      </c>
      <c r="G35" t="b">
        <v>1</v>
      </c>
      <c r="H35" t="s">
        <v>37</v>
      </c>
      <c r="I35" t="b">
        <v>1</v>
      </c>
      <c r="J35">
        <v>100</v>
      </c>
    </row>
    <row r="36" spans="1:11" x14ac:dyDescent="0.3">
      <c r="A36" t="s">
        <v>21</v>
      </c>
      <c r="B36" s="2">
        <v>0.99609999999999999</v>
      </c>
      <c r="C36" s="5">
        <v>3.3430000000000001E-2</v>
      </c>
      <c r="E36">
        <v>500</v>
      </c>
      <c r="F36">
        <v>100</v>
      </c>
      <c r="G36" t="b">
        <v>1</v>
      </c>
      <c r="H36" t="s">
        <v>39</v>
      </c>
      <c r="I36" t="b">
        <v>1</v>
      </c>
      <c r="J36">
        <v>200</v>
      </c>
    </row>
    <row r="37" spans="1:11" x14ac:dyDescent="0.3">
      <c r="A37" t="s">
        <v>21</v>
      </c>
      <c r="B37" s="2">
        <v>0.99409999999999998</v>
      </c>
      <c r="C37" s="5">
        <v>2.1994E-2</v>
      </c>
      <c r="E37">
        <v>500</v>
      </c>
      <c r="F37">
        <v>100</v>
      </c>
      <c r="G37" t="b">
        <v>1</v>
      </c>
      <c r="H37" t="s">
        <v>41</v>
      </c>
      <c r="I37" t="b">
        <v>1</v>
      </c>
      <c r="J37">
        <v>300</v>
      </c>
    </row>
    <row r="38" spans="1:11" x14ac:dyDescent="0.3">
      <c r="A38" t="s">
        <v>21</v>
      </c>
      <c r="B38" s="2">
        <v>1</v>
      </c>
      <c r="C38" s="5">
        <v>9.9999999999999995E-7</v>
      </c>
      <c r="E38">
        <v>500</v>
      </c>
      <c r="F38">
        <v>100</v>
      </c>
      <c r="G38" t="b">
        <v>1</v>
      </c>
      <c r="H38" t="s">
        <v>43</v>
      </c>
      <c r="I38" t="b">
        <v>1</v>
      </c>
      <c r="J38">
        <v>400</v>
      </c>
    </row>
    <row r="39" spans="1:11" x14ac:dyDescent="0.3">
      <c r="A39" t="s">
        <v>21</v>
      </c>
      <c r="B39" s="2">
        <v>0.90620000000000001</v>
      </c>
      <c r="C39" s="5">
        <v>0.271455</v>
      </c>
      <c r="E39">
        <v>500</v>
      </c>
      <c r="F39">
        <v>100</v>
      </c>
      <c r="G39" t="b">
        <v>1</v>
      </c>
      <c r="H39" t="s">
        <v>45</v>
      </c>
      <c r="I39" t="b">
        <v>1</v>
      </c>
      <c r="J39">
        <v>500</v>
      </c>
    </row>
    <row r="40" spans="1:11" x14ac:dyDescent="0.3">
      <c r="A40" t="s">
        <v>21</v>
      </c>
      <c r="B40" s="2">
        <v>0.9385</v>
      </c>
      <c r="C40" s="5">
        <v>0.130632</v>
      </c>
      <c r="E40">
        <v>500</v>
      </c>
      <c r="F40">
        <v>100</v>
      </c>
      <c r="G40" t="b">
        <v>1</v>
      </c>
      <c r="H40" t="s">
        <v>47</v>
      </c>
      <c r="I40" t="b">
        <v>1</v>
      </c>
      <c r="J40">
        <v>600</v>
      </c>
      <c r="K40">
        <v>6</v>
      </c>
    </row>
    <row r="41" spans="1:11" x14ac:dyDescent="0.3">
      <c r="A41" t="s">
        <v>21</v>
      </c>
      <c r="B41" s="2">
        <v>0.97750000000000004</v>
      </c>
      <c r="C41" s="5">
        <v>0.20313100000000001</v>
      </c>
      <c r="E41">
        <v>500</v>
      </c>
      <c r="F41">
        <v>100</v>
      </c>
      <c r="G41" t="b">
        <v>1</v>
      </c>
      <c r="H41" t="s">
        <v>50</v>
      </c>
      <c r="I41" t="b">
        <v>1</v>
      </c>
      <c r="J41">
        <v>700</v>
      </c>
      <c r="K41">
        <v>5</v>
      </c>
    </row>
    <row r="42" spans="1:11" x14ac:dyDescent="0.3">
      <c r="A42" t="s">
        <v>21</v>
      </c>
      <c r="B42" s="2">
        <v>0.99609999999999999</v>
      </c>
      <c r="C42" s="5">
        <v>6.0393000000000002E-2</v>
      </c>
      <c r="E42">
        <v>500</v>
      </c>
      <c r="F42">
        <v>100</v>
      </c>
      <c r="G42" t="b">
        <v>1</v>
      </c>
      <c r="H42" t="s">
        <v>52</v>
      </c>
      <c r="I42" t="b">
        <v>1</v>
      </c>
      <c r="J42">
        <v>800</v>
      </c>
      <c r="K42">
        <v>5</v>
      </c>
    </row>
    <row r="43" spans="1:11" x14ac:dyDescent="0.3">
      <c r="A43" t="s">
        <v>21</v>
      </c>
      <c r="B43" s="2">
        <v>0.96189999999999998</v>
      </c>
      <c r="C43" s="5">
        <v>0.107032</v>
      </c>
      <c r="E43">
        <v>500</v>
      </c>
      <c r="F43">
        <v>100</v>
      </c>
      <c r="G43" t="b">
        <v>1</v>
      </c>
      <c r="H43" t="s">
        <v>54</v>
      </c>
      <c r="I43" t="b">
        <v>1</v>
      </c>
      <c r="J43">
        <v>900</v>
      </c>
      <c r="K43">
        <v>5</v>
      </c>
    </row>
    <row r="44" spans="1:11" x14ac:dyDescent="0.3">
      <c r="A44" t="s">
        <v>21</v>
      </c>
      <c r="B44" s="2">
        <v>0.98829999999999996</v>
      </c>
      <c r="C44" s="5">
        <v>4.0517999999999998E-2</v>
      </c>
      <c r="E44">
        <v>500</v>
      </c>
      <c r="F44">
        <v>500</v>
      </c>
      <c r="G44" t="b">
        <v>1</v>
      </c>
      <c r="H44" t="s">
        <v>55</v>
      </c>
      <c r="I44" t="b">
        <v>1</v>
      </c>
      <c r="J44">
        <v>1000</v>
      </c>
      <c r="K4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410CE-D010-4543-B3BD-E85E734E3872}">
  <dimension ref="A1:M23"/>
  <sheetViews>
    <sheetView workbookViewId="0">
      <selection activeCell="L24" sqref="L24"/>
    </sheetView>
  </sheetViews>
  <sheetFormatPr defaultRowHeight="14.4" x14ac:dyDescent="0.3"/>
  <cols>
    <col min="1" max="1" width="9.88671875" bestFit="1" customWidth="1"/>
    <col min="2" max="2" width="10" bestFit="1" customWidth="1"/>
  </cols>
  <sheetData>
    <row r="1" spans="1:13" x14ac:dyDescent="0.3">
      <c r="A1" t="s">
        <v>19</v>
      </c>
      <c r="B1" s="2" t="s">
        <v>6</v>
      </c>
      <c r="C1" t="s">
        <v>7</v>
      </c>
      <c r="D1" t="s">
        <v>56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  <c r="L1" t="s">
        <v>57</v>
      </c>
    </row>
    <row r="2" spans="1:13" x14ac:dyDescent="0.3">
      <c r="A2" t="s">
        <v>20</v>
      </c>
      <c r="B2" s="2">
        <v>0.99950000000000006</v>
      </c>
      <c r="C2" s="3">
        <v>5.5300000000000002E-3</v>
      </c>
      <c r="D2" s="3">
        <v>4.8000000000000001E-5</v>
      </c>
      <c r="E2">
        <v>500</v>
      </c>
      <c r="F2">
        <v>20</v>
      </c>
      <c r="G2" t="b">
        <v>0</v>
      </c>
      <c r="H2">
        <v>0</v>
      </c>
      <c r="I2" t="b">
        <v>0</v>
      </c>
      <c r="J2">
        <v>0</v>
      </c>
      <c r="K2">
        <v>1E-3</v>
      </c>
      <c r="L2">
        <v>1935</v>
      </c>
    </row>
    <row r="3" spans="1:13" x14ac:dyDescent="0.3">
      <c r="A3" t="s">
        <v>21</v>
      </c>
      <c r="B3" s="2">
        <v>1</v>
      </c>
      <c r="C3" t="s">
        <v>58</v>
      </c>
      <c r="D3" s="3">
        <v>4.4896999999999999E-2</v>
      </c>
      <c r="E3">
        <v>500</v>
      </c>
      <c r="F3">
        <v>20</v>
      </c>
      <c r="G3" t="b">
        <v>0</v>
      </c>
      <c r="H3">
        <v>20</v>
      </c>
      <c r="I3" t="b">
        <v>0</v>
      </c>
      <c r="J3">
        <v>0</v>
      </c>
      <c r="K3">
        <v>1E-3</v>
      </c>
      <c r="L3">
        <v>313</v>
      </c>
    </row>
    <row r="4" spans="1:13" x14ac:dyDescent="0.3">
      <c r="A4" t="s">
        <v>20</v>
      </c>
      <c r="B4" s="2">
        <v>0.99970000000000003</v>
      </c>
      <c r="C4" s="3">
        <v>4.0309999999999999E-3</v>
      </c>
      <c r="D4" s="3">
        <v>2.5000000000000001E-5</v>
      </c>
      <c r="E4">
        <v>500</v>
      </c>
      <c r="F4">
        <v>20</v>
      </c>
      <c r="G4" t="b">
        <v>0</v>
      </c>
      <c r="H4">
        <v>40</v>
      </c>
      <c r="I4" t="b">
        <v>0</v>
      </c>
      <c r="J4">
        <v>20</v>
      </c>
      <c r="K4">
        <v>1E-3</v>
      </c>
      <c r="L4">
        <v>2009</v>
      </c>
    </row>
    <row r="5" spans="1:13" x14ac:dyDescent="0.3">
      <c r="A5" t="s">
        <v>21</v>
      </c>
      <c r="B5" s="2">
        <v>0.95309999999999995</v>
      </c>
      <c r="C5" t="s">
        <v>58</v>
      </c>
      <c r="D5" s="3">
        <v>0.52776000000000001</v>
      </c>
      <c r="E5">
        <v>500</v>
      </c>
      <c r="F5">
        <v>20</v>
      </c>
      <c r="G5" t="b">
        <v>0</v>
      </c>
      <c r="H5">
        <v>60</v>
      </c>
      <c r="I5" t="b">
        <v>0</v>
      </c>
      <c r="J5">
        <v>20</v>
      </c>
      <c r="K5">
        <v>1E-4</v>
      </c>
      <c r="L5">
        <v>428</v>
      </c>
    </row>
    <row r="6" spans="1:13" x14ac:dyDescent="0.3">
      <c r="A6" t="s">
        <v>20</v>
      </c>
      <c r="B6" s="2">
        <v>0.99980000000000002</v>
      </c>
      <c r="C6" s="3">
        <v>3.369E-3</v>
      </c>
      <c r="D6" s="3">
        <v>2.0999999999999999E-5</v>
      </c>
      <c r="E6">
        <v>500</v>
      </c>
      <c r="F6">
        <v>20</v>
      </c>
      <c r="G6" t="b">
        <v>0</v>
      </c>
      <c r="H6">
        <v>80</v>
      </c>
      <c r="I6" t="b">
        <v>0</v>
      </c>
      <c r="J6">
        <v>40</v>
      </c>
      <c r="K6">
        <v>1E-4</v>
      </c>
      <c r="L6">
        <v>1841</v>
      </c>
    </row>
    <row r="7" spans="1:13" x14ac:dyDescent="0.3">
      <c r="A7" t="s">
        <v>21</v>
      </c>
      <c r="B7" s="2">
        <v>1</v>
      </c>
      <c r="C7" t="s">
        <v>58</v>
      </c>
      <c r="D7" s="3">
        <v>1.5953600000000001E-3</v>
      </c>
      <c r="E7">
        <v>500</v>
      </c>
      <c r="F7">
        <v>20</v>
      </c>
      <c r="G7" t="b">
        <v>0</v>
      </c>
      <c r="H7">
        <v>100</v>
      </c>
      <c r="I7" t="b">
        <v>0</v>
      </c>
      <c r="J7">
        <v>40</v>
      </c>
      <c r="K7">
        <v>1E-4</v>
      </c>
      <c r="L7">
        <v>151</v>
      </c>
    </row>
    <row r="8" spans="1:13" x14ac:dyDescent="0.3">
      <c r="A8" t="s">
        <v>20</v>
      </c>
      <c r="B8" s="2">
        <v>0.99980000000000002</v>
      </c>
      <c r="C8" s="3">
        <v>3.49E-3</v>
      </c>
      <c r="D8" s="3">
        <v>2.1999999999999999E-5</v>
      </c>
      <c r="E8">
        <v>500</v>
      </c>
      <c r="F8">
        <v>20</v>
      </c>
      <c r="G8" t="b">
        <v>0</v>
      </c>
      <c r="H8">
        <v>120</v>
      </c>
      <c r="I8" t="b">
        <v>0</v>
      </c>
      <c r="J8">
        <v>60</v>
      </c>
      <c r="K8">
        <v>1E-4</v>
      </c>
      <c r="L8">
        <v>1389</v>
      </c>
    </row>
    <row r="9" spans="1:13" x14ac:dyDescent="0.3">
      <c r="A9" t="s">
        <v>21</v>
      </c>
      <c r="B9" s="2">
        <v>1</v>
      </c>
      <c r="C9" t="s">
        <v>58</v>
      </c>
      <c r="D9" s="3">
        <v>2.4555100000000002E-3</v>
      </c>
      <c r="E9">
        <v>500</v>
      </c>
      <c r="F9">
        <v>20</v>
      </c>
      <c r="G9" t="b">
        <v>0</v>
      </c>
      <c r="H9">
        <v>140</v>
      </c>
      <c r="I9" t="b">
        <v>0</v>
      </c>
      <c r="J9">
        <v>60</v>
      </c>
      <c r="K9">
        <v>1E-4</v>
      </c>
      <c r="L9">
        <v>238</v>
      </c>
    </row>
    <row r="10" spans="1:13" x14ac:dyDescent="0.3">
      <c r="A10" t="s">
        <v>20</v>
      </c>
      <c r="B10" s="2">
        <v>0.99970000000000003</v>
      </c>
      <c r="C10" s="3">
        <v>3.0219999999999999E-3</v>
      </c>
      <c r="D10" s="3">
        <v>2.0999999999999999E-5</v>
      </c>
      <c r="E10">
        <v>500</v>
      </c>
      <c r="F10">
        <v>20</v>
      </c>
      <c r="G10" t="b">
        <v>0</v>
      </c>
      <c r="H10">
        <v>160</v>
      </c>
      <c r="I10" t="b">
        <v>0</v>
      </c>
      <c r="J10">
        <v>80</v>
      </c>
      <c r="K10" s="6">
        <v>1.0000000000000001E-5</v>
      </c>
      <c r="L10">
        <v>1215</v>
      </c>
    </row>
    <row r="11" spans="1:13" x14ac:dyDescent="0.3">
      <c r="A11" t="s">
        <v>21</v>
      </c>
      <c r="B11" s="2">
        <v>0.57809999999999995</v>
      </c>
      <c r="C11" t="s">
        <v>58</v>
      </c>
      <c r="D11" s="3">
        <v>0.68868799999999997</v>
      </c>
      <c r="E11">
        <v>500</v>
      </c>
      <c r="F11">
        <v>20</v>
      </c>
      <c r="G11" t="b">
        <v>0</v>
      </c>
      <c r="H11">
        <v>180</v>
      </c>
      <c r="I11" t="b">
        <v>0</v>
      </c>
      <c r="J11">
        <v>80</v>
      </c>
      <c r="K11" s="6">
        <v>1.0000000000000001E-5</v>
      </c>
      <c r="L11">
        <v>297</v>
      </c>
      <c r="M11" t="s">
        <v>59</v>
      </c>
    </row>
    <row r="12" spans="1:13" x14ac:dyDescent="0.3">
      <c r="A12" t="s">
        <v>20</v>
      </c>
      <c r="B12" s="2">
        <v>0.99980000000000002</v>
      </c>
      <c r="C12" s="3">
        <v>3.2929999999999999E-3</v>
      </c>
      <c r="D12" s="3">
        <v>1.7E-5</v>
      </c>
      <c r="E12">
        <v>500</v>
      </c>
      <c r="F12">
        <v>20</v>
      </c>
      <c r="G12" t="b">
        <v>0</v>
      </c>
      <c r="H12">
        <v>200</v>
      </c>
      <c r="I12" t="b">
        <v>0</v>
      </c>
      <c r="J12">
        <v>100</v>
      </c>
      <c r="K12" s="6">
        <v>9.9999999999999995E-7</v>
      </c>
      <c r="L12">
        <v>1631</v>
      </c>
    </row>
    <row r="13" spans="1:13" x14ac:dyDescent="0.3">
      <c r="A13" t="s">
        <v>21</v>
      </c>
      <c r="B13" s="2">
        <v>1</v>
      </c>
      <c r="C13" t="s">
        <v>58</v>
      </c>
      <c r="D13" s="3">
        <v>1.5719E-2</v>
      </c>
      <c r="E13">
        <v>500</v>
      </c>
      <c r="F13">
        <v>20</v>
      </c>
      <c r="G13" t="b">
        <v>0</v>
      </c>
      <c r="H13">
        <v>220</v>
      </c>
      <c r="I13" t="b">
        <v>0</v>
      </c>
      <c r="J13">
        <v>100</v>
      </c>
      <c r="K13" s="6">
        <v>9.9999999999999995E-7</v>
      </c>
      <c r="L13">
        <v>212</v>
      </c>
    </row>
    <row r="14" spans="1:13" x14ac:dyDescent="0.3">
      <c r="A14" t="s">
        <v>20</v>
      </c>
      <c r="B14" s="2">
        <v>0.99960000000000004</v>
      </c>
      <c r="C14" s="3">
        <v>3.4150000000000001E-3</v>
      </c>
      <c r="D14" s="3">
        <v>3.3000000000000003E-5</v>
      </c>
      <c r="E14">
        <v>500</v>
      </c>
      <c r="F14">
        <v>20</v>
      </c>
      <c r="G14" t="b">
        <v>0</v>
      </c>
      <c r="H14">
        <v>240</v>
      </c>
      <c r="I14" t="b">
        <v>0</v>
      </c>
      <c r="J14">
        <v>120</v>
      </c>
      <c r="K14" s="6">
        <v>1.0000000000000001E-5</v>
      </c>
      <c r="L14">
        <v>2261</v>
      </c>
    </row>
    <row r="15" spans="1:13" x14ac:dyDescent="0.3">
      <c r="A15" t="s">
        <v>21</v>
      </c>
      <c r="B15" s="2">
        <v>0.95309999999999995</v>
      </c>
      <c r="C15" t="s">
        <v>58</v>
      </c>
      <c r="D15" s="3">
        <v>9.8787E-2</v>
      </c>
      <c r="E15">
        <v>500</v>
      </c>
      <c r="F15">
        <v>20</v>
      </c>
      <c r="G15" t="b">
        <v>0</v>
      </c>
      <c r="H15">
        <v>260</v>
      </c>
      <c r="I15" t="b">
        <v>0</v>
      </c>
      <c r="J15">
        <v>120</v>
      </c>
      <c r="K15" s="6">
        <v>1.0000000000000001E-5</v>
      </c>
      <c r="L15">
        <v>254</v>
      </c>
    </row>
    <row r="16" spans="1:13" x14ac:dyDescent="0.3">
      <c r="A16" t="s">
        <v>20</v>
      </c>
      <c r="B16" s="2">
        <v>0.99960000000000004</v>
      </c>
      <c r="C16" s="3">
        <v>4.1910000000000003E-3</v>
      </c>
      <c r="D16" s="3">
        <v>4.6E-5</v>
      </c>
      <c r="E16">
        <v>500</v>
      </c>
      <c r="F16">
        <v>20</v>
      </c>
      <c r="G16" t="b">
        <v>0</v>
      </c>
      <c r="H16">
        <v>280</v>
      </c>
      <c r="I16" t="b">
        <v>0</v>
      </c>
      <c r="J16">
        <v>140</v>
      </c>
      <c r="K16" s="6">
        <v>1.0000000000000001E-5</v>
      </c>
      <c r="L16">
        <v>2154</v>
      </c>
    </row>
    <row r="17" spans="1:13" x14ac:dyDescent="0.3">
      <c r="A17" t="s">
        <v>21</v>
      </c>
      <c r="B17" s="2">
        <v>0.70309999999999995</v>
      </c>
      <c r="C17" t="s">
        <v>58</v>
      </c>
      <c r="D17" s="3">
        <v>0.43162099999999998</v>
      </c>
      <c r="E17">
        <v>500</v>
      </c>
      <c r="F17">
        <v>20</v>
      </c>
      <c r="G17" t="b">
        <v>0</v>
      </c>
      <c r="H17">
        <v>300</v>
      </c>
      <c r="I17" t="b">
        <v>0</v>
      </c>
      <c r="J17">
        <v>140</v>
      </c>
      <c r="K17" s="6">
        <v>1.0000000000000001E-5</v>
      </c>
      <c r="L17">
        <v>698</v>
      </c>
    </row>
    <row r="18" spans="1:13" x14ac:dyDescent="0.3">
      <c r="A18" t="s">
        <v>20</v>
      </c>
      <c r="B18" s="2">
        <v>0.99980000000000002</v>
      </c>
      <c r="C18" s="3">
        <v>2.9399999999999999E-3</v>
      </c>
      <c r="D18" s="3">
        <v>1.5E-5</v>
      </c>
      <c r="E18">
        <v>500</v>
      </c>
      <c r="F18">
        <v>20</v>
      </c>
      <c r="G18" t="b">
        <v>0</v>
      </c>
      <c r="H18">
        <v>320</v>
      </c>
      <c r="I18" t="b">
        <v>0</v>
      </c>
      <c r="J18">
        <v>160</v>
      </c>
      <c r="K18" s="6">
        <v>1.0000000000000001E-5</v>
      </c>
      <c r="L18">
        <v>5351</v>
      </c>
      <c r="M18" t="s">
        <v>60</v>
      </c>
    </row>
    <row r="19" spans="1:13" x14ac:dyDescent="0.3">
      <c r="A19" t="s">
        <v>21</v>
      </c>
      <c r="B19" s="2">
        <v>1</v>
      </c>
      <c r="C19" t="s">
        <v>58</v>
      </c>
      <c r="D19" s="3">
        <v>8.8710000000000004E-3</v>
      </c>
      <c r="E19">
        <v>500</v>
      </c>
      <c r="F19">
        <v>20</v>
      </c>
      <c r="G19" t="b">
        <v>0</v>
      </c>
      <c r="H19">
        <v>340</v>
      </c>
      <c r="I19" t="b">
        <v>0</v>
      </c>
      <c r="J19">
        <v>160</v>
      </c>
      <c r="K19" s="6">
        <v>1.0000000000000001E-5</v>
      </c>
      <c r="L19">
        <v>222</v>
      </c>
    </row>
    <row r="20" spans="1:13" x14ac:dyDescent="0.3">
      <c r="A20" t="s">
        <v>20</v>
      </c>
      <c r="B20" s="2">
        <v>0.99950000000000006</v>
      </c>
      <c r="C20" s="3">
        <v>4.2519999999999997E-3</v>
      </c>
      <c r="D20" s="3">
        <v>4.3999999999999999E-5</v>
      </c>
      <c r="E20">
        <v>500</v>
      </c>
      <c r="F20">
        <v>20</v>
      </c>
      <c r="G20" t="b">
        <v>0</v>
      </c>
      <c r="H20">
        <v>320</v>
      </c>
      <c r="I20" t="b">
        <v>0</v>
      </c>
      <c r="J20">
        <v>180</v>
      </c>
      <c r="K20" s="6">
        <v>1.0000000000000001E-5</v>
      </c>
      <c r="L20">
        <v>1782</v>
      </c>
    </row>
    <row r="21" spans="1:13" x14ac:dyDescent="0.3">
      <c r="A21" t="s">
        <v>21</v>
      </c>
      <c r="B21" s="2">
        <v>1</v>
      </c>
      <c r="C21" t="s">
        <v>58</v>
      </c>
      <c r="D21" s="3">
        <v>9.9778000000000006E-2</v>
      </c>
      <c r="E21">
        <v>500</v>
      </c>
      <c r="F21">
        <v>20</v>
      </c>
      <c r="G21" t="b">
        <v>0</v>
      </c>
      <c r="H21">
        <v>340</v>
      </c>
      <c r="I21" t="b">
        <v>0</v>
      </c>
      <c r="J21">
        <v>180</v>
      </c>
      <c r="K21" s="6">
        <v>1.0000000000000001E-5</v>
      </c>
      <c r="L21">
        <v>267</v>
      </c>
    </row>
    <row r="22" spans="1:13" x14ac:dyDescent="0.3">
      <c r="A22" t="s">
        <v>20</v>
      </c>
      <c r="B22" s="2">
        <v>0.99980000000000002</v>
      </c>
      <c r="C22" s="3">
        <v>3.1050000000000001E-3</v>
      </c>
      <c r="D22" s="3">
        <v>1.4E-5</v>
      </c>
      <c r="E22">
        <v>500</v>
      </c>
      <c r="F22">
        <v>20</v>
      </c>
      <c r="G22" t="b">
        <v>0</v>
      </c>
      <c r="H22">
        <v>360</v>
      </c>
      <c r="I22" t="b">
        <v>0</v>
      </c>
      <c r="J22">
        <v>200</v>
      </c>
      <c r="K22" s="6">
        <v>1.0000000000000001E-5</v>
      </c>
      <c r="L22">
        <v>2060</v>
      </c>
      <c r="M22" t="s">
        <v>60</v>
      </c>
    </row>
    <row r="23" spans="1:13" x14ac:dyDescent="0.3">
      <c r="A23" t="s">
        <v>21</v>
      </c>
      <c r="B23" s="2">
        <v>1</v>
      </c>
      <c r="C23" t="s">
        <v>58</v>
      </c>
      <c r="D23" s="3">
        <v>2.5527999999999999E-2</v>
      </c>
      <c r="E23">
        <v>500</v>
      </c>
      <c r="F23">
        <v>20</v>
      </c>
      <c r="G23" t="b">
        <v>0</v>
      </c>
      <c r="H23">
        <v>380</v>
      </c>
      <c r="I23" t="b">
        <v>0</v>
      </c>
      <c r="J23">
        <v>200</v>
      </c>
      <c r="K23" s="6">
        <v>1.0000000000000001E-5</v>
      </c>
      <c r="L23">
        <v>275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1544C-5AB7-42FD-9D08-1F6D1134F504}">
  <dimension ref="A1:L23"/>
  <sheetViews>
    <sheetView workbookViewId="0">
      <selection activeCell="B6" sqref="B6"/>
    </sheetView>
  </sheetViews>
  <sheetFormatPr defaultRowHeight="14.4" x14ac:dyDescent="0.3"/>
  <cols>
    <col min="1" max="1" width="9.88671875" bestFit="1" customWidth="1"/>
    <col min="2" max="2" width="10" bestFit="1" customWidth="1"/>
    <col min="4" max="4" width="10" bestFit="1" customWidth="1"/>
  </cols>
  <sheetData>
    <row r="1" spans="1:12" x14ac:dyDescent="0.3">
      <c r="A1" t="s">
        <v>19</v>
      </c>
      <c r="B1" s="2" t="s">
        <v>6</v>
      </c>
      <c r="C1" t="s">
        <v>7</v>
      </c>
      <c r="D1" t="s">
        <v>56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  <c r="L1" t="s">
        <v>57</v>
      </c>
    </row>
    <row r="2" spans="1:12" x14ac:dyDescent="0.3">
      <c r="A2" t="s">
        <v>20</v>
      </c>
      <c r="B2" s="2">
        <v>0.97840000000000005</v>
      </c>
      <c r="C2" s="3">
        <v>3.9634000000000003E-2</v>
      </c>
      <c r="D2" s="3">
        <v>3.5720000000000001E-3</v>
      </c>
      <c r="E2">
        <v>500</v>
      </c>
      <c r="F2">
        <v>20</v>
      </c>
      <c r="G2" t="b">
        <v>0</v>
      </c>
      <c r="H2">
        <v>0</v>
      </c>
      <c r="I2" t="b">
        <v>0</v>
      </c>
      <c r="J2">
        <v>0</v>
      </c>
      <c r="K2" s="6">
        <v>1E-3</v>
      </c>
      <c r="L2">
        <v>1904</v>
      </c>
    </row>
    <row r="3" spans="1:12" x14ac:dyDescent="0.3">
      <c r="A3" t="s">
        <v>21</v>
      </c>
      <c r="B3" s="2">
        <v>0.95309999999999995</v>
      </c>
      <c r="C3" t="s">
        <v>58</v>
      </c>
      <c r="D3" s="3">
        <v>8.0948000000000006E-2</v>
      </c>
      <c r="E3">
        <v>500</v>
      </c>
      <c r="F3">
        <v>20</v>
      </c>
      <c r="G3" t="b">
        <v>1</v>
      </c>
      <c r="H3">
        <v>20</v>
      </c>
      <c r="I3" t="b">
        <v>0</v>
      </c>
      <c r="J3">
        <v>0</v>
      </c>
      <c r="K3" s="6">
        <v>1E-3</v>
      </c>
      <c r="L3">
        <v>233</v>
      </c>
    </row>
    <row r="4" spans="1:12" x14ac:dyDescent="0.3">
      <c r="A4" t="s">
        <v>20</v>
      </c>
      <c r="B4" s="2">
        <v>0.97660000000000002</v>
      </c>
      <c r="C4" s="3">
        <v>3.1822000000000003E-2</v>
      </c>
      <c r="D4" s="3">
        <v>2.3500000000000001E-3</v>
      </c>
      <c r="E4">
        <v>500</v>
      </c>
      <c r="F4">
        <v>20</v>
      </c>
      <c r="G4" t="b">
        <v>1</v>
      </c>
      <c r="H4">
        <v>40</v>
      </c>
      <c r="I4" t="b">
        <v>0</v>
      </c>
      <c r="J4">
        <v>0</v>
      </c>
      <c r="K4" s="6">
        <v>1E-3</v>
      </c>
      <c r="L4">
        <v>2174</v>
      </c>
    </row>
    <row r="5" spans="1:12" x14ac:dyDescent="0.3">
      <c r="A5" t="s">
        <v>21</v>
      </c>
      <c r="B5" s="2">
        <v>0.90620000000000001</v>
      </c>
      <c r="C5" t="s">
        <v>58</v>
      </c>
      <c r="D5" s="3">
        <v>0.28198099999999998</v>
      </c>
      <c r="E5">
        <v>500</v>
      </c>
      <c r="F5">
        <v>20</v>
      </c>
      <c r="G5" t="b">
        <v>1</v>
      </c>
      <c r="H5">
        <v>60</v>
      </c>
      <c r="I5" t="b">
        <v>0</v>
      </c>
      <c r="J5">
        <v>0</v>
      </c>
      <c r="K5" s="6">
        <v>1E-3</v>
      </c>
      <c r="L5">
        <v>345</v>
      </c>
    </row>
    <row r="6" spans="1:12" x14ac:dyDescent="0.3">
      <c r="A6" t="s">
        <v>20</v>
      </c>
      <c r="B6" s="2">
        <v>0.89439999999999997</v>
      </c>
      <c r="C6" s="3">
        <v>2.9914E-2</v>
      </c>
      <c r="D6" s="3">
        <v>7.9000000000000008E-3</v>
      </c>
      <c r="E6">
        <v>500</v>
      </c>
      <c r="F6">
        <v>20</v>
      </c>
      <c r="G6" t="b">
        <v>1</v>
      </c>
      <c r="H6">
        <v>80</v>
      </c>
      <c r="I6" t="b">
        <v>1</v>
      </c>
      <c r="J6">
        <v>20</v>
      </c>
      <c r="K6" s="6">
        <v>1E-3</v>
      </c>
      <c r="L6">
        <v>1937</v>
      </c>
    </row>
    <row r="7" spans="1:12" x14ac:dyDescent="0.3">
      <c r="A7" t="s">
        <v>21</v>
      </c>
      <c r="B7" s="2">
        <v>1</v>
      </c>
      <c r="C7" t="s">
        <v>58</v>
      </c>
      <c r="D7" s="3">
        <v>3.0199E-2</v>
      </c>
      <c r="E7">
        <v>500</v>
      </c>
      <c r="F7">
        <v>25</v>
      </c>
      <c r="G7" t="b">
        <v>1</v>
      </c>
      <c r="H7">
        <v>100</v>
      </c>
      <c r="I7" t="b">
        <v>1</v>
      </c>
      <c r="J7">
        <v>45</v>
      </c>
      <c r="K7" s="6">
        <v>1E-3</v>
      </c>
      <c r="L7">
        <v>276</v>
      </c>
    </row>
    <row r="8" spans="1:12" x14ac:dyDescent="0.3">
      <c r="A8" t="s">
        <v>20</v>
      </c>
      <c r="B8" s="2">
        <v>0.99509999999999998</v>
      </c>
      <c r="C8" s="3">
        <v>1.1048000000000001E-2</v>
      </c>
      <c r="D8" s="3">
        <v>2.6800000000000001E-4</v>
      </c>
      <c r="E8">
        <v>500</v>
      </c>
      <c r="F8">
        <v>20</v>
      </c>
      <c r="G8" t="b">
        <v>1</v>
      </c>
      <c r="H8">
        <v>120</v>
      </c>
      <c r="I8" t="b">
        <v>1</v>
      </c>
      <c r="J8">
        <v>65</v>
      </c>
      <c r="K8" s="6">
        <v>1E-4</v>
      </c>
      <c r="L8">
        <v>1951</v>
      </c>
    </row>
    <row r="9" spans="1:12" x14ac:dyDescent="0.3">
      <c r="A9" t="s">
        <v>21</v>
      </c>
      <c r="B9" s="2">
        <v>0.5625</v>
      </c>
      <c r="C9" t="s">
        <v>58</v>
      </c>
      <c r="D9" s="3">
        <v>1.067949</v>
      </c>
      <c r="E9">
        <v>500</v>
      </c>
      <c r="F9">
        <v>18</v>
      </c>
      <c r="G9" t="b">
        <v>1</v>
      </c>
      <c r="H9">
        <v>140</v>
      </c>
      <c r="I9" t="b">
        <v>1</v>
      </c>
      <c r="J9">
        <v>83</v>
      </c>
      <c r="K9" s="6">
        <v>1E-4</v>
      </c>
      <c r="L9">
        <v>180</v>
      </c>
    </row>
    <row r="10" spans="1:12" x14ac:dyDescent="0.3">
      <c r="A10" t="s">
        <v>20</v>
      </c>
      <c r="B10" s="2">
        <v>0.99539999999999995</v>
      </c>
      <c r="C10" s="3">
        <v>1.5465E-2</v>
      </c>
      <c r="D10" s="3">
        <v>4.7100000000000001E-4</v>
      </c>
      <c r="E10">
        <v>500</v>
      </c>
      <c r="F10">
        <v>20</v>
      </c>
      <c r="G10" t="b">
        <v>1</v>
      </c>
      <c r="H10">
        <v>160</v>
      </c>
      <c r="I10" t="b">
        <v>1</v>
      </c>
      <c r="J10">
        <v>80</v>
      </c>
      <c r="K10" s="6">
        <v>1E-4</v>
      </c>
      <c r="L10">
        <v>2241</v>
      </c>
    </row>
    <row r="11" spans="1:12" x14ac:dyDescent="0.3">
      <c r="A11" t="s">
        <v>21</v>
      </c>
      <c r="B11" s="2">
        <v>0.1094</v>
      </c>
      <c r="C11" t="s">
        <v>58</v>
      </c>
      <c r="D11" s="3">
        <v>1.504229</v>
      </c>
      <c r="E11">
        <v>500</v>
      </c>
      <c r="F11">
        <v>20</v>
      </c>
      <c r="G11" t="b">
        <v>1</v>
      </c>
      <c r="H11">
        <v>180</v>
      </c>
      <c r="I11" t="b">
        <v>1</v>
      </c>
      <c r="J11">
        <v>80</v>
      </c>
      <c r="K11" s="6">
        <v>1E-4</v>
      </c>
      <c r="L11">
        <v>276</v>
      </c>
    </row>
    <row r="12" spans="1:12" x14ac:dyDescent="0.3">
      <c r="A12" t="s">
        <v>20</v>
      </c>
      <c r="B12" s="2">
        <v>0.95820000000000005</v>
      </c>
      <c r="C12" s="3">
        <v>1.8123E-2</v>
      </c>
      <c r="D12" s="3">
        <v>3.0739999999999999E-3</v>
      </c>
      <c r="E12">
        <v>500</v>
      </c>
      <c r="F12">
        <v>20</v>
      </c>
      <c r="G12" t="b">
        <v>1</v>
      </c>
      <c r="H12">
        <v>200</v>
      </c>
      <c r="I12" t="b">
        <v>1</v>
      </c>
      <c r="J12">
        <v>100</v>
      </c>
      <c r="K12" s="6">
        <v>1E-4</v>
      </c>
      <c r="L12">
        <v>2206</v>
      </c>
    </row>
    <row r="13" spans="1:12" x14ac:dyDescent="0.3">
      <c r="A13" t="s">
        <v>21</v>
      </c>
      <c r="B13" s="2">
        <v>0.95309999999999995</v>
      </c>
      <c r="C13" t="s">
        <v>58</v>
      </c>
      <c r="D13" s="3">
        <v>0.18295600000000001</v>
      </c>
      <c r="E13">
        <v>500</v>
      </c>
      <c r="F13">
        <v>20</v>
      </c>
      <c r="G13" t="b">
        <v>1</v>
      </c>
      <c r="H13">
        <v>220</v>
      </c>
      <c r="I13" t="b">
        <v>1</v>
      </c>
      <c r="J13">
        <v>100</v>
      </c>
      <c r="K13" s="6">
        <v>1E-4</v>
      </c>
      <c r="L13">
        <v>356</v>
      </c>
    </row>
    <row r="14" spans="1:12" x14ac:dyDescent="0.3">
      <c r="A14" t="s">
        <v>20</v>
      </c>
      <c r="B14" s="2">
        <v>0.98680000000000001</v>
      </c>
      <c r="C14" s="3">
        <v>1.9792000000000001E-2</v>
      </c>
      <c r="D14" s="3">
        <v>1.098E-3</v>
      </c>
      <c r="E14">
        <v>500</v>
      </c>
      <c r="F14">
        <v>20</v>
      </c>
      <c r="G14" t="b">
        <v>1</v>
      </c>
      <c r="H14">
        <v>240</v>
      </c>
      <c r="I14" t="b">
        <v>1</v>
      </c>
      <c r="J14">
        <v>120</v>
      </c>
      <c r="K14" s="6">
        <v>1.0000000000000001E-5</v>
      </c>
      <c r="L14">
        <v>1956</v>
      </c>
    </row>
    <row r="15" spans="1:12" x14ac:dyDescent="0.3">
      <c r="A15" t="s">
        <v>21</v>
      </c>
      <c r="B15" s="2">
        <v>1</v>
      </c>
      <c r="C15" t="s">
        <v>58</v>
      </c>
      <c r="D15" s="3">
        <v>8.8043999999999997E-2</v>
      </c>
      <c r="E15">
        <v>500</v>
      </c>
      <c r="F15">
        <v>20</v>
      </c>
      <c r="G15" t="b">
        <v>1</v>
      </c>
      <c r="H15">
        <v>260</v>
      </c>
      <c r="I15" t="b">
        <v>1</v>
      </c>
      <c r="J15">
        <v>120</v>
      </c>
      <c r="K15" s="6">
        <v>1.0000000000000001E-5</v>
      </c>
      <c r="L15">
        <v>205</v>
      </c>
    </row>
    <row r="16" spans="1:12" x14ac:dyDescent="0.3">
      <c r="A16" t="s">
        <v>20</v>
      </c>
      <c r="B16" s="2">
        <v>0.99460000000000004</v>
      </c>
      <c r="C16" s="3">
        <v>1.6403000000000001E-2</v>
      </c>
      <c r="D16" s="3">
        <v>6.3599999999999996E-4</v>
      </c>
      <c r="E16">
        <v>500</v>
      </c>
      <c r="F16">
        <v>20</v>
      </c>
      <c r="G16" t="b">
        <v>1</v>
      </c>
      <c r="H16">
        <v>280</v>
      </c>
      <c r="I16" t="b">
        <v>1</v>
      </c>
      <c r="J16">
        <v>140</v>
      </c>
      <c r="K16" s="6">
        <v>1.0000000000000001E-5</v>
      </c>
      <c r="L16">
        <v>2028</v>
      </c>
    </row>
    <row r="17" spans="1:12" x14ac:dyDescent="0.3">
      <c r="A17" t="s">
        <v>21</v>
      </c>
      <c r="B17" s="2">
        <v>0.92190000000000005</v>
      </c>
      <c r="C17" t="s">
        <v>58</v>
      </c>
      <c r="D17" s="3">
        <v>0.125801</v>
      </c>
      <c r="E17">
        <v>500</v>
      </c>
      <c r="F17">
        <v>20</v>
      </c>
      <c r="G17" t="b">
        <v>1</v>
      </c>
      <c r="H17">
        <v>300</v>
      </c>
      <c r="I17" t="b">
        <v>1</v>
      </c>
      <c r="J17">
        <v>140</v>
      </c>
      <c r="K17" s="6">
        <v>1.0000000000000001E-5</v>
      </c>
      <c r="L17">
        <v>226</v>
      </c>
    </row>
    <row r="18" spans="1:12" x14ac:dyDescent="0.3">
      <c r="A18" t="s">
        <v>20</v>
      </c>
      <c r="B18" s="2">
        <v>0.99319999999999997</v>
      </c>
      <c r="C18" s="3">
        <v>1.3495999999999999E-2</v>
      </c>
      <c r="D18" s="3">
        <v>6.5799999999999995E-4</v>
      </c>
      <c r="E18">
        <v>500</v>
      </c>
      <c r="F18">
        <v>20</v>
      </c>
      <c r="G18" t="b">
        <v>1</v>
      </c>
      <c r="H18">
        <v>320</v>
      </c>
      <c r="I18" t="b">
        <v>1</v>
      </c>
      <c r="J18">
        <v>160</v>
      </c>
      <c r="K18" s="6">
        <v>1.0000000000000001E-5</v>
      </c>
      <c r="L18">
        <v>2247</v>
      </c>
    </row>
    <row r="19" spans="1:12" x14ac:dyDescent="0.3">
      <c r="A19" t="s">
        <v>21</v>
      </c>
      <c r="B19" s="2">
        <v>0.78120000000000001</v>
      </c>
      <c r="C19" t="s">
        <v>58</v>
      </c>
      <c r="D19" s="3">
        <v>0.44541700000000001</v>
      </c>
      <c r="E19">
        <v>500</v>
      </c>
      <c r="F19">
        <v>20</v>
      </c>
      <c r="G19" t="b">
        <v>1</v>
      </c>
      <c r="H19">
        <v>340</v>
      </c>
      <c r="I19" t="b">
        <v>1</v>
      </c>
      <c r="J19">
        <v>160</v>
      </c>
      <c r="K19" s="6">
        <v>1.0000000000000001E-5</v>
      </c>
      <c r="L19">
        <v>204</v>
      </c>
    </row>
    <row r="20" spans="1:12" x14ac:dyDescent="0.3">
      <c r="A20" t="s">
        <v>20</v>
      </c>
      <c r="B20" s="2">
        <v>0.97919999999999996</v>
      </c>
      <c r="C20" s="3">
        <v>2.0013E-2</v>
      </c>
      <c r="D20" s="3">
        <v>1.3929999999999999E-3</v>
      </c>
      <c r="E20">
        <v>500</v>
      </c>
      <c r="F20">
        <v>20</v>
      </c>
      <c r="G20" t="b">
        <v>1</v>
      </c>
      <c r="H20">
        <v>320</v>
      </c>
      <c r="I20" t="b">
        <v>1</v>
      </c>
      <c r="J20">
        <v>180</v>
      </c>
      <c r="K20" s="6">
        <v>9.9999999999999995E-7</v>
      </c>
      <c r="L20">
        <v>2158</v>
      </c>
    </row>
    <row r="21" spans="1:12" x14ac:dyDescent="0.3">
      <c r="A21" t="s">
        <v>21</v>
      </c>
      <c r="B21" s="2"/>
      <c r="D21" s="3"/>
      <c r="E21">
        <v>500</v>
      </c>
      <c r="F21">
        <v>20</v>
      </c>
      <c r="G21" t="b">
        <v>1</v>
      </c>
      <c r="H21">
        <v>340</v>
      </c>
      <c r="I21" t="b">
        <v>1</v>
      </c>
      <c r="J21">
        <v>180</v>
      </c>
      <c r="K21" s="6">
        <v>1.0000000000000001E-5</v>
      </c>
    </row>
    <row r="22" spans="1:12" x14ac:dyDescent="0.3">
      <c r="A22" t="s">
        <v>20</v>
      </c>
      <c r="B22" s="2"/>
      <c r="C22" s="3"/>
      <c r="D22" s="3"/>
      <c r="E22">
        <v>500</v>
      </c>
      <c r="F22">
        <v>20</v>
      </c>
      <c r="G22" t="b">
        <v>1</v>
      </c>
      <c r="H22">
        <v>360</v>
      </c>
      <c r="I22" t="b">
        <v>1</v>
      </c>
      <c r="J22">
        <v>200</v>
      </c>
      <c r="K22" s="6">
        <v>1.0000000000000001E-5</v>
      </c>
    </row>
    <row r="23" spans="1:12" x14ac:dyDescent="0.3">
      <c r="A23" t="s">
        <v>21</v>
      </c>
      <c r="B23" s="2"/>
      <c r="D23" s="3"/>
      <c r="E23">
        <v>500</v>
      </c>
      <c r="F23">
        <v>20</v>
      </c>
      <c r="G23" t="b">
        <v>1</v>
      </c>
      <c r="H23">
        <v>380</v>
      </c>
      <c r="I23" t="b">
        <v>1</v>
      </c>
      <c r="J23">
        <v>200</v>
      </c>
      <c r="K23" s="6">
        <v>1.0000000000000001E-5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4B5A4-D903-4AE7-9764-DB1ED1D8ED21}">
  <dimension ref="A1:L23"/>
  <sheetViews>
    <sheetView workbookViewId="0">
      <selection activeCell="D14" sqref="D14"/>
    </sheetView>
  </sheetViews>
  <sheetFormatPr defaultRowHeight="14.4" x14ac:dyDescent="0.3"/>
  <cols>
    <col min="1" max="1" width="9.88671875" bestFit="1" customWidth="1"/>
    <col min="2" max="2" width="10" bestFit="1" customWidth="1"/>
    <col min="4" max="4" width="10" bestFit="1" customWidth="1"/>
  </cols>
  <sheetData>
    <row r="1" spans="1:12" x14ac:dyDescent="0.3">
      <c r="A1" t="s">
        <v>19</v>
      </c>
      <c r="B1" s="2" t="s">
        <v>6</v>
      </c>
      <c r="C1" t="s">
        <v>7</v>
      </c>
      <c r="D1" t="s">
        <v>56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  <c r="L1" t="s">
        <v>57</v>
      </c>
    </row>
    <row r="2" spans="1:12" x14ac:dyDescent="0.3">
      <c r="A2" t="s">
        <v>20</v>
      </c>
      <c r="B2" s="2">
        <v>0.94230000000000003</v>
      </c>
      <c r="C2" s="3">
        <v>3.8178999999999998E-2</v>
      </c>
      <c r="D2" s="3">
        <v>5.7169999999999999E-3</v>
      </c>
      <c r="E2">
        <v>500</v>
      </c>
      <c r="F2">
        <v>20</v>
      </c>
      <c r="G2" t="b">
        <v>0</v>
      </c>
      <c r="H2">
        <v>0</v>
      </c>
      <c r="I2" t="b">
        <v>0</v>
      </c>
      <c r="J2">
        <v>0</v>
      </c>
      <c r="K2" s="6">
        <v>1E-3</v>
      </c>
      <c r="L2">
        <v>1831</v>
      </c>
    </row>
    <row r="3" spans="1:12" x14ac:dyDescent="0.3">
      <c r="A3" t="s">
        <v>21</v>
      </c>
      <c r="B3" s="2">
        <v>0</v>
      </c>
      <c r="D3" s="3">
        <v>4.1274689999999996</v>
      </c>
      <c r="E3">
        <v>500</v>
      </c>
      <c r="F3">
        <v>20</v>
      </c>
      <c r="G3" t="b">
        <v>1</v>
      </c>
      <c r="H3">
        <v>20</v>
      </c>
      <c r="I3" t="b">
        <v>0</v>
      </c>
      <c r="J3">
        <v>0</v>
      </c>
      <c r="K3" s="6">
        <v>1E-3</v>
      </c>
      <c r="L3">
        <v>165</v>
      </c>
    </row>
    <row r="4" spans="1:12" x14ac:dyDescent="0.3">
      <c r="A4" t="s">
        <v>20</v>
      </c>
      <c r="B4" s="2">
        <v>0.97250000000000003</v>
      </c>
      <c r="C4" s="3">
        <v>3.3583000000000002E-2</v>
      </c>
      <c r="D4" s="3">
        <v>3.441E-3</v>
      </c>
      <c r="E4">
        <v>500</v>
      </c>
      <c r="F4">
        <v>20</v>
      </c>
      <c r="G4" t="b">
        <v>1</v>
      </c>
      <c r="H4">
        <v>40</v>
      </c>
      <c r="I4" t="b">
        <v>0</v>
      </c>
      <c r="J4">
        <v>0</v>
      </c>
      <c r="K4" s="6">
        <v>1E-3</v>
      </c>
      <c r="L4">
        <v>1768</v>
      </c>
    </row>
    <row r="5" spans="1:12" x14ac:dyDescent="0.3">
      <c r="A5" t="s">
        <v>21</v>
      </c>
      <c r="B5" s="2">
        <v>1</v>
      </c>
      <c r="D5" s="3">
        <v>0.181121</v>
      </c>
      <c r="E5">
        <v>500</v>
      </c>
      <c r="F5">
        <v>20</v>
      </c>
      <c r="G5" t="b">
        <v>1</v>
      </c>
      <c r="H5">
        <v>60</v>
      </c>
      <c r="I5" t="b">
        <v>1</v>
      </c>
      <c r="J5">
        <v>20</v>
      </c>
      <c r="K5" s="6">
        <v>1E-3</v>
      </c>
      <c r="L5">
        <v>210</v>
      </c>
    </row>
    <row r="6" spans="1:12" x14ac:dyDescent="0.3">
      <c r="A6" t="s">
        <v>20</v>
      </c>
      <c r="B6" s="2">
        <v>0.96870000000000001</v>
      </c>
      <c r="C6" s="3">
        <v>2.9523000000000001E-2</v>
      </c>
      <c r="D6" s="3">
        <v>3.2260000000000001E-3</v>
      </c>
      <c r="E6">
        <v>500</v>
      </c>
      <c r="F6">
        <v>20</v>
      </c>
      <c r="G6" t="b">
        <v>1</v>
      </c>
      <c r="H6">
        <v>80</v>
      </c>
      <c r="I6" t="b">
        <v>1</v>
      </c>
      <c r="J6">
        <v>20</v>
      </c>
      <c r="K6" s="6">
        <v>1E-3</v>
      </c>
      <c r="L6">
        <v>1857</v>
      </c>
    </row>
    <row r="7" spans="1:12" x14ac:dyDescent="0.3">
      <c r="A7" t="s">
        <v>21</v>
      </c>
      <c r="B7" s="2">
        <v>1</v>
      </c>
      <c r="D7" s="3">
        <v>0.198937</v>
      </c>
      <c r="E7">
        <v>500</v>
      </c>
      <c r="F7">
        <v>20</v>
      </c>
      <c r="G7" t="b">
        <v>1</v>
      </c>
      <c r="H7">
        <v>100</v>
      </c>
      <c r="I7" t="b">
        <v>1</v>
      </c>
      <c r="J7">
        <v>40</v>
      </c>
      <c r="K7" s="6">
        <v>1E-4</v>
      </c>
      <c r="L7">
        <v>238</v>
      </c>
    </row>
    <row r="8" spans="1:12" x14ac:dyDescent="0.3">
      <c r="A8" t="s">
        <v>20</v>
      </c>
      <c r="B8" s="2">
        <v>0.97540000000000004</v>
      </c>
      <c r="C8" s="3">
        <v>2.8105000000000002E-2</v>
      </c>
      <c r="D8" s="3">
        <v>2.4359999999999998E-3</v>
      </c>
      <c r="E8">
        <v>500</v>
      </c>
      <c r="F8">
        <v>20</v>
      </c>
      <c r="G8" t="b">
        <v>1</v>
      </c>
      <c r="H8">
        <v>120</v>
      </c>
      <c r="I8" t="b">
        <v>1</v>
      </c>
      <c r="J8">
        <v>40</v>
      </c>
      <c r="K8" s="6">
        <v>1E-4</v>
      </c>
      <c r="L8">
        <v>1854</v>
      </c>
    </row>
    <row r="9" spans="1:12" x14ac:dyDescent="0.3">
      <c r="A9" t="s">
        <v>21</v>
      </c>
      <c r="B9" s="2">
        <v>1</v>
      </c>
      <c r="D9" s="3">
        <v>1.5547999999999999E-2</v>
      </c>
      <c r="E9">
        <v>500</v>
      </c>
      <c r="F9">
        <v>20</v>
      </c>
      <c r="G9" t="b">
        <v>1</v>
      </c>
      <c r="H9">
        <v>140</v>
      </c>
      <c r="I9" t="b">
        <v>1</v>
      </c>
      <c r="J9">
        <v>60</v>
      </c>
      <c r="K9" s="6">
        <v>1E-4</v>
      </c>
      <c r="L9">
        <v>226</v>
      </c>
    </row>
    <row r="10" spans="1:12" x14ac:dyDescent="0.3">
      <c r="A10" t="s">
        <v>20</v>
      </c>
      <c r="B10" s="2">
        <v>0.98719999999999997</v>
      </c>
      <c r="C10" s="3">
        <v>2.5649999999999999E-2</v>
      </c>
      <c r="D10" s="3">
        <v>1.939E-3</v>
      </c>
      <c r="E10">
        <v>500</v>
      </c>
      <c r="F10">
        <v>20</v>
      </c>
      <c r="G10" t="b">
        <v>1</v>
      </c>
      <c r="H10">
        <v>160</v>
      </c>
      <c r="I10" t="b">
        <v>1</v>
      </c>
      <c r="J10">
        <v>60</v>
      </c>
      <c r="K10" s="6">
        <v>1E-4</v>
      </c>
      <c r="L10">
        <v>1389</v>
      </c>
    </row>
    <row r="11" spans="1:12" x14ac:dyDescent="0.3">
      <c r="A11" t="s">
        <v>21</v>
      </c>
      <c r="B11" s="2">
        <v>1</v>
      </c>
      <c r="D11" s="3">
        <v>4.1539E-2</v>
      </c>
      <c r="E11">
        <v>500</v>
      </c>
      <c r="F11">
        <v>20</v>
      </c>
      <c r="G11" t="b">
        <v>1</v>
      </c>
      <c r="H11">
        <v>180</v>
      </c>
      <c r="I11" t="b">
        <v>1</v>
      </c>
      <c r="J11">
        <v>80</v>
      </c>
      <c r="K11" s="6">
        <v>1E-4</v>
      </c>
      <c r="L11">
        <v>137</v>
      </c>
    </row>
    <row r="12" spans="1:12" x14ac:dyDescent="0.3">
      <c r="A12" t="s">
        <v>20</v>
      </c>
      <c r="B12" s="2">
        <v>0.94069999999999998</v>
      </c>
      <c r="C12" s="3">
        <v>5.3155000000000001E-2</v>
      </c>
      <c r="D12" s="3">
        <v>7.8890000000000002E-3</v>
      </c>
      <c r="E12">
        <v>500</v>
      </c>
      <c r="F12">
        <v>20</v>
      </c>
      <c r="G12" t="b">
        <v>1</v>
      </c>
      <c r="H12">
        <v>200</v>
      </c>
      <c r="I12" t="b">
        <v>1</v>
      </c>
      <c r="J12">
        <v>80</v>
      </c>
      <c r="K12" s="6">
        <v>1.0000000000000001E-5</v>
      </c>
      <c r="L12">
        <v>1393</v>
      </c>
    </row>
    <row r="13" spans="1:12" x14ac:dyDescent="0.3">
      <c r="A13" t="s">
        <v>21</v>
      </c>
      <c r="B13" s="2">
        <v>0.76559999999999995</v>
      </c>
      <c r="D13" s="3">
        <v>0.46492299999999998</v>
      </c>
      <c r="E13">
        <v>500</v>
      </c>
      <c r="F13">
        <v>20</v>
      </c>
      <c r="G13" t="b">
        <v>1</v>
      </c>
      <c r="H13">
        <v>220</v>
      </c>
      <c r="I13" t="b">
        <v>1</v>
      </c>
      <c r="J13">
        <v>100</v>
      </c>
      <c r="K13" s="6">
        <v>1.0000000000000001E-5</v>
      </c>
      <c r="L13">
        <v>174</v>
      </c>
    </row>
    <row r="14" spans="1:12" x14ac:dyDescent="0.3">
      <c r="A14" t="s">
        <v>20</v>
      </c>
      <c r="B14" s="2">
        <v>0.98229999999999995</v>
      </c>
      <c r="C14" s="3">
        <v>3.0117999999999999E-2</v>
      </c>
      <c r="D14" s="3">
        <v>0.24840000000000001</v>
      </c>
      <c r="E14">
        <v>500</v>
      </c>
      <c r="F14">
        <v>20</v>
      </c>
      <c r="G14" t="b">
        <v>1</v>
      </c>
      <c r="H14">
        <v>240</v>
      </c>
      <c r="I14" t="b">
        <v>1</v>
      </c>
      <c r="J14">
        <v>100</v>
      </c>
      <c r="K14" s="6">
        <v>1.0000000000000001E-5</v>
      </c>
      <c r="L14">
        <v>1235</v>
      </c>
    </row>
    <row r="15" spans="1:12" x14ac:dyDescent="0.3">
      <c r="A15" t="s">
        <v>21</v>
      </c>
      <c r="B15" s="2"/>
      <c r="D15" s="3"/>
      <c r="E15">
        <v>500</v>
      </c>
      <c r="F15">
        <v>20</v>
      </c>
      <c r="G15" t="b">
        <v>1</v>
      </c>
      <c r="I15" t="b">
        <v>1</v>
      </c>
      <c r="K15" s="6"/>
    </row>
    <row r="16" spans="1:12" x14ac:dyDescent="0.3">
      <c r="A16" t="s">
        <v>20</v>
      </c>
      <c r="B16" s="2"/>
      <c r="C16" s="3"/>
      <c r="D16" s="3"/>
      <c r="E16">
        <v>500</v>
      </c>
      <c r="F16">
        <v>20</v>
      </c>
      <c r="G16" t="b">
        <v>1</v>
      </c>
      <c r="I16" t="b">
        <v>1</v>
      </c>
      <c r="K16" s="6"/>
    </row>
    <row r="17" spans="1:11" x14ac:dyDescent="0.3">
      <c r="A17" t="s">
        <v>21</v>
      </c>
      <c r="B17" s="2"/>
      <c r="D17" s="3"/>
      <c r="E17">
        <v>500</v>
      </c>
      <c r="F17">
        <v>20</v>
      </c>
      <c r="G17" t="b">
        <v>1</v>
      </c>
      <c r="I17" t="b">
        <v>1</v>
      </c>
      <c r="K17" s="6"/>
    </row>
    <row r="18" spans="1:11" x14ac:dyDescent="0.3">
      <c r="A18" t="s">
        <v>20</v>
      </c>
      <c r="B18" s="2"/>
      <c r="C18" s="3"/>
      <c r="D18" s="3"/>
      <c r="E18">
        <v>500</v>
      </c>
      <c r="F18">
        <v>20</v>
      </c>
      <c r="G18" t="b">
        <v>1</v>
      </c>
      <c r="I18" t="b">
        <v>1</v>
      </c>
      <c r="K18" s="6"/>
    </row>
    <row r="19" spans="1:11" x14ac:dyDescent="0.3">
      <c r="A19" t="s">
        <v>21</v>
      </c>
      <c r="B19" s="2"/>
      <c r="D19" s="3"/>
      <c r="E19">
        <v>500</v>
      </c>
      <c r="F19">
        <v>20</v>
      </c>
      <c r="G19" t="b">
        <v>1</v>
      </c>
      <c r="I19" t="b">
        <v>1</v>
      </c>
      <c r="K19" s="6"/>
    </row>
    <row r="20" spans="1:11" x14ac:dyDescent="0.3">
      <c r="A20" t="s">
        <v>20</v>
      </c>
      <c r="B20" s="2"/>
      <c r="C20" s="3"/>
      <c r="D20" s="3"/>
      <c r="E20">
        <v>500</v>
      </c>
      <c r="F20">
        <v>20</v>
      </c>
      <c r="G20" t="b">
        <v>1</v>
      </c>
      <c r="I20" t="b">
        <v>1</v>
      </c>
      <c r="K20" s="6"/>
    </row>
    <row r="21" spans="1:11" x14ac:dyDescent="0.3">
      <c r="A21" t="s">
        <v>21</v>
      </c>
      <c r="B21" s="2"/>
      <c r="D21" s="3"/>
      <c r="E21">
        <v>500</v>
      </c>
      <c r="F21">
        <v>20</v>
      </c>
      <c r="G21" t="b">
        <v>1</v>
      </c>
      <c r="I21" t="b">
        <v>1</v>
      </c>
      <c r="K21" s="6"/>
    </row>
    <row r="22" spans="1:11" x14ac:dyDescent="0.3">
      <c r="A22" t="s">
        <v>20</v>
      </c>
      <c r="B22" s="2"/>
      <c r="C22" s="3"/>
      <c r="D22" s="3"/>
      <c r="E22">
        <v>500</v>
      </c>
      <c r="F22">
        <v>20</v>
      </c>
      <c r="G22" t="b">
        <v>1</v>
      </c>
      <c r="I22" t="b">
        <v>1</v>
      </c>
      <c r="K22" s="6"/>
    </row>
    <row r="23" spans="1:11" x14ac:dyDescent="0.3">
      <c r="A23" t="s">
        <v>21</v>
      </c>
      <c r="B23" s="2"/>
      <c r="D23" s="3"/>
      <c r="E23">
        <v>500</v>
      </c>
      <c r="F23">
        <v>20</v>
      </c>
      <c r="G23" t="b">
        <v>1</v>
      </c>
      <c r="I23" t="b">
        <v>1</v>
      </c>
      <c r="K23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385BD-901D-4C3E-95D4-282AB1B28C3D}">
  <dimension ref="A1:L24"/>
  <sheetViews>
    <sheetView workbookViewId="0">
      <selection activeCell="B14" sqref="B14"/>
    </sheetView>
  </sheetViews>
  <sheetFormatPr defaultRowHeight="14.4" x14ac:dyDescent="0.3"/>
  <cols>
    <col min="1" max="1" width="9.88671875" bestFit="1" customWidth="1"/>
    <col min="2" max="2" width="10" bestFit="1" customWidth="1"/>
    <col min="4" max="4" width="10" bestFit="1" customWidth="1"/>
  </cols>
  <sheetData>
    <row r="1" spans="1:12" x14ac:dyDescent="0.3">
      <c r="A1" t="s">
        <v>19</v>
      </c>
      <c r="B1" s="2" t="s">
        <v>6</v>
      </c>
      <c r="C1" t="s">
        <v>7</v>
      </c>
      <c r="D1" t="s">
        <v>56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  <c r="L1" t="s">
        <v>57</v>
      </c>
    </row>
    <row r="2" spans="1:12" x14ac:dyDescent="0.3">
      <c r="A2" t="s">
        <v>61</v>
      </c>
      <c r="B2" s="2"/>
    </row>
    <row r="3" spans="1:12" x14ac:dyDescent="0.3">
      <c r="A3" t="s">
        <v>20</v>
      </c>
      <c r="B3" s="2">
        <v>0.94230000000000003</v>
      </c>
      <c r="C3" s="3">
        <v>3.8178999999999998E-2</v>
      </c>
      <c r="D3" s="3">
        <v>5.7169999999999999E-3</v>
      </c>
      <c r="E3">
        <v>500</v>
      </c>
      <c r="F3">
        <v>20</v>
      </c>
      <c r="G3" t="b">
        <v>0</v>
      </c>
      <c r="H3">
        <v>0</v>
      </c>
      <c r="I3" t="b">
        <v>0</v>
      </c>
      <c r="J3">
        <v>0</v>
      </c>
      <c r="K3" s="6">
        <v>1E-3</v>
      </c>
      <c r="L3">
        <v>1831</v>
      </c>
    </row>
    <row r="4" spans="1:12" x14ac:dyDescent="0.3">
      <c r="A4" t="s">
        <v>21</v>
      </c>
      <c r="B4" s="2">
        <v>0</v>
      </c>
      <c r="D4" s="3">
        <v>4.1274689999999996</v>
      </c>
      <c r="E4">
        <v>500</v>
      </c>
      <c r="F4">
        <v>20</v>
      </c>
      <c r="G4" t="b">
        <v>1</v>
      </c>
      <c r="H4">
        <v>20</v>
      </c>
      <c r="I4" t="b">
        <v>0</v>
      </c>
      <c r="J4">
        <v>0</v>
      </c>
      <c r="K4" s="6">
        <v>1E-3</v>
      </c>
      <c r="L4">
        <v>165</v>
      </c>
    </row>
    <row r="5" spans="1:12" x14ac:dyDescent="0.3">
      <c r="A5" t="s">
        <v>20</v>
      </c>
      <c r="B5" s="2">
        <v>0.97250000000000003</v>
      </c>
      <c r="C5" s="3">
        <v>3.3583000000000002E-2</v>
      </c>
      <c r="D5" s="3">
        <v>3.441E-3</v>
      </c>
      <c r="E5">
        <v>500</v>
      </c>
      <c r="F5">
        <v>20</v>
      </c>
      <c r="G5" t="b">
        <v>1</v>
      </c>
      <c r="H5">
        <v>40</v>
      </c>
      <c r="I5" t="b">
        <v>0</v>
      </c>
      <c r="J5">
        <v>0</v>
      </c>
      <c r="K5" s="6">
        <v>1E-3</v>
      </c>
      <c r="L5">
        <v>1768</v>
      </c>
    </row>
    <row r="6" spans="1:12" x14ac:dyDescent="0.3">
      <c r="A6" t="s">
        <v>21</v>
      </c>
      <c r="B6" s="2">
        <v>1</v>
      </c>
      <c r="D6" s="3">
        <v>0.181121</v>
      </c>
      <c r="E6">
        <v>500</v>
      </c>
      <c r="F6">
        <v>20</v>
      </c>
      <c r="G6" t="b">
        <v>1</v>
      </c>
      <c r="H6">
        <v>60</v>
      </c>
      <c r="I6" t="b">
        <v>1</v>
      </c>
      <c r="J6">
        <v>20</v>
      </c>
      <c r="K6" s="6">
        <v>1E-3</v>
      </c>
      <c r="L6">
        <v>210</v>
      </c>
    </row>
    <row r="7" spans="1:12" x14ac:dyDescent="0.3">
      <c r="A7" t="s">
        <v>20</v>
      </c>
      <c r="B7" s="2">
        <v>0.96870000000000001</v>
      </c>
      <c r="C7" s="3">
        <v>2.9523000000000001E-2</v>
      </c>
      <c r="D7" s="3">
        <v>3.2260000000000001E-3</v>
      </c>
      <c r="E7">
        <v>500</v>
      </c>
      <c r="F7">
        <v>20</v>
      </c>
      <c r="G7" t="b">
        <v>1</v>
      </c>
      <c r="H7">
        <v>80</v>
      </c>
      <c r="I7" t="b">
        <v>1</v>
      </c>
      <c r="J7">
        <v>20</v>
      </c>
      <c r="K7" s="6">
        <v>1E-3</v>
      </c>
      <c r="L7">
        <v>1857</v>
      </c>
    </row>
    <row r="8" spans="1:12" x14ac:dyDescent="0.3">
      <c r="A8" t="s">
        <v>21</v>
      </c>
      <c r="B8" s="2">
        <v>1</v>
      </c>
      <c r="D8" s="3">
        <v>0.198937</v>
      </c>
      <c r="E8">
        <v>500</v>
      </c>
      <c r="F8">
        <v>20</v>
      </c>
      <c r="G8" t="b">
        <v>1</v>
      </c>
      <c r="H8">
        <v>100</v>
      </c>
      <c r="I8" t="b">
        <v>1</v>
      </c>
      <c r="J8">
        <v>40</v>
      </c>
      <c r="K8" s="6">
        <v>1E-4</v>
      </c>
      <c r="L8">
        <v>238</v>
      </c>
    </row>
    <row r="9" spans="1:12" x14ac:dyDescent="0.3">
      <c r="A9" t="s">
        <v>20</v>
      </c>
      <c r="B9" s="2">
        <v>0.97540000000000004</v>
      </c>
      <c r="C9" s="3">
        <v>2.8105000000000002E-2</v>
      </c>
      <c r="D9" s="3">
        <v>2.4359999999999998E-3</v>
      </c>
      <c r="E9">
        <v>500</v>
      </c>
      <c r="F9">
        <v>20</v>
      </c>
      <c r="G9" t="b">
        <v>1</v>
      </c>
      <c r="H9">
        <v>120</v>
      </c>
      <c r="I9" t="b">
        <v>1</v>
      </c>
      <c r="J9">
        <v>40</v>
      </c>
      <c r="K9" s="6">
        <v>1E-4</v>
      </c>
      <c r="L9">
        <v>1854</v>
      </c>
    </row>
    <row r="10" spans="1:12" x14ac:dyDescent="0.3">
      <c r="A10" t="s">
        <v>21</v>
      </c>
      <c r="B10" s="2">
        <v>1</v>
      </c>
      <c r="D10" s="3">
        <v>1.5547999999999999E-2</v>
      </c>
      <c r="E10">
        <v>500</v>
      </c>
      <c r="F10">
        <v>20</v>
      </c>
      <c r="G10" t="b">
        <v>1</v>
      </c>
      <c r="H10">
        <v>140</v>
      </c>
      <c r="I10" t="b">
        <v>1</v>
      </c>
      <c r="J10">
        <v>60</v>
      </c>
      <c r="K10" s="6">
        <v>1E-4</v>
      </c>
      <c r="L10">
        <v>226</v>
      </c>
    </row>
    <row r="11" spans="1:12" x14ac:dyDescent="0.3">
      <c r="A11" t="s">
        <v>20</v>
      </c>
      <c r="B11" s="2">
        <v>0.98719999999999997</v>
      </c>
      <c r="C11" s="3">
        <v>2.5649999999999999E-2</v>
      </c>
      <c r="D11" s="3">
        <v>1.939E-3</v>
      </c>
      <c r="E11">
        <v>500</v>
      </c>
      <c r="F11">
        <v>20</v>
      </c>
      <c r="G11" t="b">
        <v>1</v>
      </c>
      <c r="H11">
        <v>160</v>
      </c>
      <c r="I11" t="b">
        <v>1</v>
      </c>
      <c r="J11">
        <v>60</v>
      </c>
      <c r="K11" s="6">
        <v>1E-4</v>
      </c>
      <c r="L11">
        <v>1389</v>
      </c>
    </row>
    <row r="12" spans="1:12" x14ac:dyDescent="0.3">
      <c r="A12" t="s">
        <v>21</v>
      </c>
      <c r="B12" s="2">
        <v>1</v>
      </c>
      <c r="D12" s="3">
        <v>4.1539E-2</v>
      </c>
      <c r="E12">
        <v>500</v>
      </c>
      <c r="F12">
        <v>20</v>
      </c>
      <c r="G12" t="b">
        <v>1</v>
      </c>
      <c r="H12">
        <v>180</v>
      </c>
      <c r="I12" t="b">
        <v>1</v>
      </c>
      <c r="J12">
        <v>80</v>
      </c>
      <c r="K12" s="6">
        <v>1E-4</v>
      </c>
      <c r="L12">
        <v>137</v>
      </c>
    </row>
    <row r="13" spans="1:12" x14ac:dyDescent="0.3">
      <c r="A13" t="s">
        <v>20</v>
      </c>
      <c r="B13" s="2">
        <v>0.94069999999999998</v>
      </c>
      <c r="C13" s="3">
        <v>5.3155000000000001E-2</v>
      </c>
      <c r="D13" s="3">
        <v>7.8890000000000002E-3</v>
      </c>
      <c r="E13">
        <v>500</v>
      </c>
      <c r="F13">
        <v>20</v>
      </c>
      <c r="G13" t="b">
        <v>1</v>
      </c>
      <c r="H13">
        <v>200</v>
      </c>
      <c r="I13" t="b">
        <v>1</v>
      </c>
      <c r="J13">
        <v>80</v>
      </c>
      <c r="K13" s="6">
        <v>1.0000000000000001E-5</v>
      </c>
      <c r="L13">
        <v>1393</v>
      </c>
    </row>
    <row r="14" spans="1:12" x14ac:dyDescent="0.3">
      <c r="A14" t="s">
        <v>21</v>
      </c>
      <c r="B14" s="2">
        <v>0.76559999999999995</v>
      </c>
      <c r="D14" s="3">
        <v>0.46492299999999998</v>
      </c>
      <c r="E14">
        <v>500</v>
      </c>
      <c r="F14">
        <v>20</v>
      </c>
      <c r="G14" t="b">
        <v>1</v>
      </c>
      <c r="H14">
        <v>220</v>
      </c>
      <c r="I14" t="b">
        <v>1</v>
      </c>
      <c r="J14">
        <v>100</v>
      </c>
      <c r="K14" s="6">
        <v>1.0000000000000001E-5</v>
      </c>
      <c r="L14">
        <v>174</v>
      </c>
    </row>
    <row r="15" spans="1:12" x14ac:dyDescent="0.3">
      <c r="A15" t="s">
        <v>20</v>
      </c>
      <c r="B15" s="2">
        <v>0.98229999999999995</v>
      </c>
      <c r="C15" s="3">
        <v>3.0117999999999999E-2</v>
      </c>
      <c r="D15" s="3">
        <v>0.24840000000000001</v>
      </c>
      <c r="E15">
        <v>500</v>
      </c>
      <c r="F15">
        <v>20</v>
      </c>
      <c r="G15" t="b">
        <v>1</v>
      </c>
      <c r="H15">
        <v>240</v>
      </c>
      <c r="I15" t="b">
        <v>1</v>
      </c>
      <c r="J15">
        <v>100</v>
      </c>
      <c r="K15" s="6">
        <v>1.0000000000000001E-5</v>
      </c>
      <c r="L15">
        <v>1235</v>
      </c>
    </row>
    <row r="16" spans="1:12" x14ac:dyDescent="0.3">
      <c r="A16" t="s">
        <v>21</v>
      </c>
      <c r="B16" s="2"/>
      <c r="D16" s="3"/>
      <c r="E16">
        <v>500</v>
      </c>
      <c r="F16">
        <v>20</v>
      </c>
      <c r="G16" t="b">
        <v>1</v>
      </c>
      <c r="I16" t="b">
        <v>1</v>
      </c>
      <c r="K16" s="6"/>
    </row>
    <row r="17" spans="1:11" x14ac:dyDescent="0.3">
      <c r="A17" t="s">
        <v>20</v>
      </c>
      <c r="B17" s="2"/>
      <c r="C17" s="3"/>
      <c r="D17" s="3"/>
      <c r="E17">
        <v>500</v>
      </c>
      <c r="F17">
        <v>20</v>
      </c>
      <c r="G17" t="b">
        <v>1</v>
      </c>
      <c r="I17" t="b">
        <v>1</v>
      </c>
      <c r="K17" s="6"/>
    </row>
    <row r="18" spans="1:11" x14ac:dyDescent="0.3">
      <c r="A18" t="s">
        <v>21</v>
      </c>
      <c r="B18" s="2"/>
      <c r="D18" s="3"/>
      <c r="E18">
        <v>500</v>
      </c>
      <c r="F18">
        <v>20</v>
      </c>
      <c r="G18" t="b">
        <v>1</v>
      </c>
      <c r="I18" t="b">
        <v>1</v>
      </c>
      <c r="K18" s="6"/>
    </row>
    <row r="19" spans="1:11" x14ac:dyDescent="0.3">
      <c r="A19" t="s">
        <v>20</v>
      </c>
      <c r="B19" s="2"/>
      <c r="C19" s="3"/>
      <c r="D19" s="3"/>
      <c r="E19">
        <v>500</v>
      </c>
      <c r="F19">
        <v>20</v>
      </c>
      <c r="G19" t="b">
        <v>1</v>
      </c>
      <c r="I19" t="b">
        <v>1</v>
      </c>
      <c r="K19" s="6"/>
    </row>
    <row r="20" spans="1:11" x14ac:dyDescent="0.3">
      <c r="A20" t="s">
        <v>21</v>
      </c>
      <c r="B20" s="2"/>
      <c r="D20" s="3"/>
      <c r="E20">
        <v>500</v>
      </c>
      <c r="F20">
        <v>20</v>
      </c>
      <c r="G20" t="b">
        <v>1</v>
      </c>
      <c r="I20" t="b">
        <v>1</v>
      </c>
      <c r="K20" s="6"/>
    </row>
    <row r="21" spans="1:11" x14ac:dyDescent="0.3">
      <c r="A21" t="s">
        <v>20</v>
      </c>
      <c r="B21" s="2"/>
      <c r="C21" s="3"/>
      <c r="D21" s="3"/>
      <c r="E21">
        <v>500</v>
      </c>
      <c r="F21">
        <v>20</v>
      </c>
      <c r="G21" t="b">
        <v>1</v>
      </c>
      <c r="I21" t="b">
        <v>1</v>
      </c>
      <c r="K21" s="6"/>
    </row>
    <row r="22" spans="1:11" x14ac:dyDescent="0.3">
      <c r="A22" t="s">
        <v>21</v>
      </c>
      <c r="B22" s="2"/>
      <c r="D22" s="3"/>
      <c r="E22">
        <v>500</v>
      </c>
      <c r="F22">
        <v>20</v>
      </c>
      <c r="G22" t="b">
        <v>1</v>
      </c>
      <c r="I22" t="b">
        <v>1</v>
      </c>
      <c r="K22" s="6"/>
    </row>
    <row r="23" spans="1:11" x14ac:dyDescent="0.3">
      <c r="A23" t="s">
        <v>20</v>
      </c>
      <c r="B23" s="2"/>
      <c r="C23" s="3"/>
      <c r="D23" s="3"/>
      <c r="E23">
        <v>500</v>
      </c>
      <c r="F23">
        <v>20</v>
      </c>
      <c r="G23" t="b">
        <v>1</v>
      </c>
      <c r="I23" t="b">
        <v>1</v>
      </c>
      <c r="K23" s="6"/>
    </row>
    <row r="24" spans="1:11" x14ac:dyDescent="0.3">
      <c r="A24" t="s">
        <v>21</v>
      </c>
      <c r="B24" s="2"/>
      <c r="D24" s="3"/>
      <c r="E24">
        <v>500</v>
      </c>
      <c r="F24">
        <v>20</v>
      </c>
      <c r="G24" t="b">
        <v>1</v>
      </c>
      <c r="I24" t="b">
        <v>1</v>
      </c>
      <c r="K24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4F357-4E41-43AA-A95D-A2FC3541B668}">
  <dimension ref="A1:G33"/>
  <sheetViews>
    <sheetView workbookViewId="0">
      <selection activeCell="C13" sqref="C13"/>
    </sheetView>
  </sheetViews>
  <sheetFormatPr defaultRowHeight="14.4" x14ac:dyDescent="0.3"/>
  <sheetData>
    <row r="1" spans="1:7" x14ac:dyDescent="0.3">
      <c r="A1" t="s">
        <v>74</v>
      </c>
      <c r="B1" t="s">
        <v>75</v>
      </c>
      <c r="C1" t="s">
        <v>76</v>
      </c>
      <c r="D1" t="s">
        <v>84</v>
      </c>
      <c r="E1" t="s">
        <v>83</v>
      </c>
      <c r="F1" t="s">
        <v>77</v>
      </c>
      <c r="G1" t="s">
        <v>79</v>
      </c>
    </row>
    <row r="2" spans="1:7" x14ac:dyDescent="0.3">
      <c r="A2">
        <v>0</v>
      </c>
      <c r="B2" t="s">
        <v>78</v>
      </c>
      <c r="C2" t="s">
        <v>81</v>
      </c>
    </row>
    <row r="3" spans="1:7" x14ac:dyDescent="0.3">
      <c r="A3">
        <v>1</v>
      </c>
      <c r="B3" t="s">
        <v>87</v>
      </c>
    </row>
    <row r="4" spans="1:7" x14ac:dyDescent="0.3">
      <c r="A4">
        <v>2</v>
      </c>
      <c r="C4" t="s">
        <v>81</v>
      </c>
      <c r="D4" t="s">
        <v>80</v>
      </c>
    </row>
    <row r="5" spans="1:7" x14ac:dyDescent="0.3">
      <c r="A5">
        <v>3</v>
      </c>
      <c r="B5" t="s">
        <v>78</v>
      </c>
      <c r="C5" t="s">
        <v>78</v>
      </c>
    </row>
    <row r="6" spans="1:7" x14ac:dyDescent="0.3">
      <c r="A6">
        <v>4</v>
      </c>
    </row>
    <row r="7" spans="1:7" x14ac:dyDescent="0.3">
      <c r="A7">
        <v>5</v>
      </c>
      <c r="B7" t="s">
        <v>86</v>
      </c>
    </row>
    <row r="8" spans="1:7" x14ac:dyDescent="0.3">
      <c r="A8">
        <v>6</v>
      </c>
    </row>
    <row r="9" spans="1:7" x14ac:dyDescent="0.3">
      <c r="A9">
        <v>7</v>
      </c>
    </row>
    <row r="10" spans="1:7" x14ac:dyDescent="0.3">
      <c r="A10">
        <v>8</v>
      </c>
      <c r="C10" t="s">
        <v>82</v>
      </c>
    </row>
    <row r="11" spans="1:7" x14ac:dyDescent="0.3">
      <c r="A11">
        <v>9</v>
      </c>
    </row>
    <row r="12" spans="1:7" x14ac:dyDescent="0.3">
      <c r="A12">
        <v>10</v>
      </c>
    </row>
    <row r="13" spans="1:7" x14ac:dyDescent="0.3">
      <c r="A13">
        <v>11</v>
      </c>
      <c r="B13" t="s">
        <v>80</v>
      </c>
      <c r="C13" t="s">
        <v>80</v>
      </c>
    </row>
    <row r="14" spans="1:7" x14ac:dyDescent="0.3">
      <c r="A14">
        <v>12</v>
      </c>
      <c r="B14" t="s">
        <v>85</v>
      </c>
    </row>
    <row r="15" spans="1:7" x14ac:dyDescent="0.3">
      <c r="A15">
        <v>13</v>
      </c>
    </row>
    <row r="16" spans="1:7" x14ac:dyDescent="0.3">
      <c r="A16">
        <v>14</v>
      </c>
      <c r="C16" t="s">
        <v>78</v>
      </c>
    </row>
    <row r="17" spans="1:4" x14ac:dyDescent="0.3">
      <c r="A17">
        <v>15</v>
      </c>
      <c r="B17" t="s">
        <v>80</v>
      </c>
    </row>
    <row r="18" spans="1:4" x14ac:dyDescent="0.3">
      <c r="A18">
        <v>16</v>
      </c>
    </row>
    <row r="19" spans="1:4" x14ac:dyDescent="0.3">
      <c r="A19">
        <v>17</v>
      </c>
    </row>
    <row r="20" spans="1:4" x14ac:dyDescent="0.3">
      <c r="A20">
        <v>18</v>
      </c>
    </row>
    <row r="21" spans="1:4" x14ac:dyDescent="0.3">
      <c r="A21">
        <v>19</v>
      </c>
      <c r="B21" t="s">
        <v>87</v>
      </c>
    </row>
    <row r="22" spans="1:4" x14ac:dyDescent="0.3">
      <c r="A22">
        <v>20</v>
      </c>
    </row>
    <row r="23" spans="1:4" x14ac:dyDescent="0.3">
      <c r="A23">
        <v>21</v>
      </c>
      <c r="B23" t="s">
        <v>78</v>
      </c>
      <c r="D23" t="s">
        <v>82</v>
      </c>
    </row>
    <row r="24" spans="1:4" x14ac:dyDescent="0.3">
      <c r="A24">
        <v>22</v>
      </c>
    </row>
    <row r="25" spans="1:4" x14ac:dyDescent="0.3">
      <c r="A25">
        <v>23</v>
      </c>
      <c r="C25" t="s">
        <v>78</v>
      </c>
    </row>
    <row r="26" spans="1:4" x14ac:dyDescent="0.3">
      <c r="A26">
        <v>24</v>
      </c>
      <c r="C26" t="s">
        <v>81</v>
      </c>
    </row>
    <row r="27" spans="1:4" x14ac:dyDescent="0.3">
      <c r="A27">
        <v>25</v>
      </c>
    </row>
    <row r="28" spans="1:4" x14ac:dyDescent="0.3">
      <c r="A28">
        <v>26</v>
      </c>
      <c r="D28" t="s">
        <v>82</v>
      </c>
    </row>
    <row r="29" spans="1:4" x14ac:dyDescent="0.3">
      <c r="A29">
        <v>27</v>
      </c>
    </row>
    <row r="30" spans="1:4" x14ac:dyDescent="0.3">
      <c r="A30">
        <v>28</v>
      </c>
    </row>
    <row r="31" spans="1:4" x14ac:dyDescent="0.3">
      <c r="A31">
        <v>29</v>
      </c>
    </row>
    <row r="32" spans="1:4" x14ac:dyDescent="0.3">
      <c r="A32">
        <v>30</v>
      </c>
    </row>
    <row r="33" spans="1:3" x14ac:dyDescent="0.3">
      <c r="A33">
        <v>31</v>
      </c>
      <c r="C33" t="s">
        <v>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B04C9-8155-4EBA-B248-2EB2C4A3BD13}">
  <dimension ref="A2:W48"/>
  <sheetViews>
    <sheetView tabSelected="1" topLeftCell="A25" workbookViewId="0">
      <selection activeCell="F43" sqref="F43"/>
    </sheetView>
  </sheetViews>
  <sheetFormatPr defaultRowHeight="14.4" x14ac:dyDescent="0.3"/>
  <cols>
    <col min="2" max="2" width="9.109375" style="7" bestFit="1" customWidth="1"/>
    <col min="3" max="5" width="9.44140625" style="7" bestFit="1" customWidth="1"/>
    <col min="6" max="6" width="10.33203125" style="7" bestFit="1" customWidth="1"/>
    <col min="7" max="7" width="10.44140625" style="7" bestFit="1" customWidth="1"/>
    <col min="8" max="8" width="11.44140625" style="7" bestFit="1" customWidth="1"/>
    <col min="9" max="10" width="12.88671875" style="7" bestFit="1" customWidth="1"/>
    <col min="11" max="11" width="12.77734375" style="7" bestFit="1" customWidth="1"/>
    <col min="12" max="12" width="12.88671875" style="7" bestFit="1" customWidth="1"/>
    <col min="14" max="23" width="8.88671875" style="2"/>
  </cols>
  <sheetData>
    <row r="2" spans="1:23" x14ac:dyDescent="0.3">
      <c r="B2" s="7" t="s">
        <v>62</v>
      </c>
      <c r="C2" s="7" t="s">
        <v>63</v>
      </c>
      <c r="D2" s="7" t="s">
        <v>64</v>
      </c>
      <c r="E2" s="7" t="s">
        <v>65</v>
      </c>
      <c r="F2" s="7" t="s">
        <v>66</v>
      </c>
      <c r="G2" s="7" t="s">
        <v>67</v>
      </c>
      <c r="H2" s="7" t="s">
        <v>68</v>
      </c>
      <c r="I2" s="7" t="s">
        <v>69</v>
      </c>
      <c r="J2" s="7" t="s">
        <v>70</v>
      </c>
      <c r="L2" s="7" t="s">
        <v>72</v>
      </c>
      <c r="N2" s="2" t="s">
        <v>62</v>
      </c>
      <c r="O2" s="2" t="s">
        <v>63</v>
      </c>
      <c r="P2" s="2" t="s">
        <v>64</v>
      </c>
      <c r="Q2" s="2" t="s">
        <v>65</v>
      </c>
      <c r="R2" s="2" t="s">
        <v>66</v>
      </c>
      <c r="S2" s="2" t="s">
        <v>67</v>
      </c>
      <c r="T2" s="2" t="s">
        <v>68</v>
      </c>
      <c r="U2" s="2" t="s">
        <v>69</v>
      </c>
      <c r="V2" s="2" t="s">
        <v>70</v>
      </c>
    </row>
    <row r="3" spans="1:23" x14ac:dyDescent="0.3">
      <c r="A3" t="s">
        <v>62</v>
      </c>
      <c r="B3" s="7">
        <v>0</v>
      </c>
      <c r="C3" s="7">
        <v>0</v>
      </c>
      <c r="D3" s="7">
        <v>0</v>
      </c>
      <c r="E3" s="7">
        <v>39</v>
      </c>
      <c r="F3" s="7">
        <v>1</v>
      </c>
      <c r="G3" s="7">
        <v>0</v>
      </c>
      <c r="H3" s="7">
        <v>0</v>
      </c>
      <c r="I3" s="7">
        <v>0</v>
      </c>
      <c r="J3" s="7">
        <v>0</v>
      </c>
      <c r="L3" s="7">
        <f>SUM(B3:J3)</f>
        <v>40</v>
      </c>
      <c r="N3" s="2">
        <f>B3/$L3</f>
        <v>0</v>
      </c>
      <c r="O3" s="2">
        <f t="shared" ref="O3:T3" si="0">C3/$L3</f>
        <v>0</v>
      </c>
      <c r="P3" s="2">
        <f t="shared" si="0"/>
        <v>0</v>
      </c>
      <c r="Q3" s="2">
        <f t="shared" si="0"/>
        <v>0.97499999999999998</v>
      </c>
      <c r="R3" s="2">
        <f t="shared" si="0"/>
        <v>2.5000000000000001E-2</v>
      </c>
      <c r="S3" s="2">
        <f t="shared" si="0"/>
        <v>0</v>
      </c>
      <c r="T3" s="2">
        <f t="shared" si="0"/>
        <v>0</v>
      </c>
      <c r="U3" s="2">
        <f>I3/$L3</f>
        <v>0</v>
      </c>
      <c r="V3" s="2">
        <f t="shared" ref="V3:V11" si="1">J3/$L3</f>
        <v>0</v>
      </c>
    </row>
    <row r="4" spans="1:23" x14ac:dyDescent="0.3">
      <c r="A4" t="s">
        <v>63</v>
      </c>
      <c r="B4" s="7">
        <v>0</v>
      </c>
      <c r="C4" s="7">
        <v>572</v>
      </c>
      <c r="D4" s="7">
        <v>0</v>
      </c>
      <c r="E4" s="7">
        <v>0</v>
      </c>
      <c r="F4" s="7">
        <v>0</v>
      </c>
      <c r="G4" s="7">
        <v>52</v>
      </c>
      <c r="H4" s="7">
        <v>0</v>
      </c>
      <c r="I4" s="7">
        <v>0</v>
      </c>
      <c r="J4" s="7">
        <v>0</v>
      </c>
      <c r="L4" s="7">
        <f t="shared" ref="L4:L11" si="2">SUM(B4:J4)</f>
        <v>624</v>
      </c>
      <c r="N4" s="2">
        <f t="shared" ref="N4:N11" si="3">B4/$L4</f>
        <v>0</v>
      </c>
      <c r="O4" s="2">
        <f t="shared" ref="O4:O11" si="4">C4/$L4</f>
        <v>0.91666666666666663</v>
      </c>
      <c r="P4" s="2">
        <f t="shared" ref="P4:P11" si="5">D4/$L4</f>
        <v>0</v>
      </c>
      <c r="Q4" s="2">
        <f t="shared" ref="Q4:Q11" si="6">E4/$L4</f>
        <v>0</v>
      </c>
      <c r="R4" s="2">
        <f t="shared" ref="R4:R11" si="7">F4/$L4</f>
        <v>0</v>
      </c>
      <c r="S4" s="2">
        <f t="shared" ref="S4:S11" si="8">G4/$L4</f>
        <v>8.3333333333333329E-2</v>
      </c>
      <c r="T4" s="2">
        <f t="shared" ref="T4:T11" si="9">H4/$L4</f>
        <v>0</v>
      </c>
      <c r="U4" s="2">
        <f t="shared" ref="U4:U11" si="10">I4/$L4</f>
        <v>0</v>
      </c>
      <c r="V4" s="2">
        <f t="shared" si="1"/>
        <v>0</v>
      </c>
    </row>
    <row r="5" spans="1:23" x14ac:dyDescent="0.3">
      <c r="A5" t="s">
        <v>64</v>
      </c>
      <c r="B5" s="7">
        <v>0</v>
      </c>
      <c r="C5" s="7">
        <v>0</v>
      </c>
      <c r="D5" s="7">
        <v>3744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L5" s="7">
        <f t="shared" si="2"/>
        <v>3744</v>
      </c>
      <c r="N5" s="2">
        <f t="shared" si="3"/>
        <v>0</v>
      </c>
      <c r="O5" s="2">
        <f t="shared" si="4"/>
        <v>0</v>
      </c>
      <c r="P5" s="2">
        <f t="shared" si="5"/>
        <v>1</v>
      </c>
      <c r="Q5" s="2">
        <f t="shared" si="6"/>
        <v>0</v>
      </c>
      <c r="R5" s="2">
        <f t="shared" si="7"/>
        <v>0</v>
      </c>
      <c r="S5" s="2">
        <f t="shared" si="8"/>
        <v>0</v>
      </c>
      <c r="T5" s="2">
        <f t="shared" si="9"/>
        <v>0</v>
      </c>
      <c r="U5" s="2">
        <f t="shared" si="10"/>
        <v>0</v>
      </c>
      <c r="V5" s="2">
        <f t="shared" si="1"/>
        <v>0</v>
      </c>
    </row>
    <row r="6" spans="1:23" x14ac:dyDescent="0.3">
      <c r="A6" t="s">
        <v>65</v>
      </c>
      <c r="B6" s="7">
        <v>0</v>
      </c>
      <c r="C6" s="7">
        <v>0</v>
      </c>
      <c r="D6" s="7">
        <v>0</v>
      </c>
      <c r="E6" s="7">
        <v>5108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L6" s="7">
        <f t="shared" si="2"/>
        <v>5108</v>
      </c>
      <c r="N6" s="2">
        <f t="shared" si="3"/>
        <v>0</v>
      </c>
      <c r="O6" s="2">
        <f t="shared" si="4"/>
        <v>0</v>
      </c>
      <c r="P6" s="2">
        <f t="shared" si="5"/>
        <v>0</v>
      </c>
      <c r="Q6" s="2">
        <f t="shared" si="6"/>
        <v>1</v>
      </c>
      <c r="R6" s="2">
        <f t="shared" si="7"/>
        <v>0</v>
      </c>
      <c r="S6" s="2">
        <f t="shared" si="8"/>
        <v>0</v>
      </c>
      <c r="T6" s="2">
        <f t="shared" si="9"/>
        <v>0</v>
      </c>
      <c r="U6" s="2">
        <f t="shared" si="10"/>
        <v>0</v>
      </c>
      <c r="V6" s="2">
        <f t="shared" si="1"/>
        <v>0</v>
      </c>
    </row>
    <row r="7" spans="1:23" x14ac:dyDescent="0.3">
      <c r="A7" t="s">
        <v>66</v>
      </c>
      <c r="B7" s="7">
        <v>0</v>
      </c>
      <c r="C7" s="7">
        <v>0</v>
      </c>
      <c r="D7" s="7">
        <v>0</v>
      </c>
      <c r="E7" s="7">
        <v>1</v>
      </c>
      <c r="F7" s="7">
        <v>10188</v>
      </c>
      <c r="G7" s="7">
        <v>0</v>
      </c>
      <c r="H7" s="7">
        <v>0</v>
      </c>
      <c r="I7" s="7">
        <v>0</v>
      </c>
      <c r="J7" s="7">
        <v>11</v>
      </c>
      <c r="L7" s="7">
        <f t="shared" si="2"/>
        <v>10200</v>
      </c>
      <c r="N7" s="2">
        <f t="shared" si="3"/>
        <v>0</v>
      </c>
      <c r="O7" s="2">
        <f t="shared" si="4"/>
        <v>0</v>
      </c>
      <c r="P7" s="2">
        <f t="shared" si="5"/>
        <v>0</v>
      </c>
      <c r="Q7" s="2">
        <f t="shared" si="6"/>
        <v>9.8039215686274506E-5</v>
      </c>
      <c r="R7" s="2">
        <f t="shared" si="7"/>
        <v>0.99882352941176467</v>
      </c>
      <c r="S7" s="2">
        <f t="shared" si="8"/>
        <v>0</v>
      </c>
      <c r="T7" s="2">
        <f t="shared" si="9"/>
        <v>0</v>
      </c>
      <c r="U7" s="2">
        <f t="shared" si="10"/>
        <v>0</v>
      </c>
      <c r="V7" s="2">
        <f t="shared" si="1"/>
        <v>1.0784313725490195E-3</v>
      </c>
    </row>
    <row r="8" spans="1:23" x14ac:dyDescent="0.3">
      <c r="A8" t="s">
        <v>67</v>
      </c>
      <c r="B8" s="7">
        <v>0</v>
      </c>
      <c r="C8" s="7">
        <v>20</v>
      </c>
      <c r="D8" s="7">
        <v>0</v>
      </c>
      <c r="E8" s="7">
        <v>0</v>
      </c>
      <c r="F8" s="7">
        <v>0</v>
      </c>
      <c r="G8" s="7">
        <v>54892</v>
      </c>
      <c r="H8" s="7">
        <v>0</v>
      </c>
      <c r="I8" s="7">
        <v>0</v>
      </c>
      <c r="J8" s="7">
        <v>0</v>
      </c>
      <c r="L8" s="7">
        <f t="shared" si="2"/>
        <v>54912</v>
      </c>
      <c r="N8" s="2">
        <f t="shared" si="3"/>
        <v>0</v>
      </c>
      <c r="O8" s="2">
        <f t="shared" si="4"/>
        <v>3.6421911421911425E-4</v>
      </c>
      <c r="P8" s="2">
        <f t="shared" si="5"/>
        <v>0</v>
      </c>
      <c r="Q8" s="2">
        <f t="shared" si="6"/>
        <v>0</v>
      </c>
      <c r="R8" s="2">
        <f t="shared" si="7"/>
        <v>0</v>
      </c>
      <c r="S8" s="2">
        <f t="shared" si="8"/>
        <v>0.99963578088578087</v>
      </c>
      <c r="T8" s="2">
        <f t="shared" si="9"/>
        <v>0</v>
      </c>
      <c r="U8" s="2">
        <f t="shared" si="10"/>
        <v>0</v>
      </c>
      <c r="V8" s="2">
        <f t="shared" si="1"/>
        <v>0</v>
      </c>
    </row>
    <row r="9" spans="1:23" x14ac:dyDescent="0.3">
      <c r="A9" t="s">
        <v>68</v>
      </c>
      <c r="B9" s="7">
        <v>0</v>
      </c>
      <c r="C9" s="7">
        <v>0</v>
      </c>
      <c r="D9" s="7">
        <v>344</v>
      </c>
      <c r="E9" s="7">
        <v>0</v>
      </c>
      <c r="F9" s="7">
        <v>0</v>
      </c>
      <c r="G9" s="7">
        <v>0</v>
      </c>
      <c r="H9" s="7">
        <v>119653</v>
      </c>
      <c r="I9" s="7">
        <v>3555</v>
      </c>
      <c r="J9" s="7">
        <v>0</v>
      </c>
      <c r="L9" s="7">
        <f t="shared" si="2"/>
        <v>123552</v>
      </c>
      <c r="N9" s="2">
        <f t="shared" si="3"/>
        <v>0</v>
      </c>
      <c r="O9" s="2">
        <f t="shared" si="4"/>
        <v>0</v>
      </c>
      <c r="P9" s="2">
        <f t="shared" si="5"/>
        <v>2.7842527842527843E-3</v>
      </c>
      <c r="Q9" s="2">
        <f t="shared" si="6"/>
        <v>0</v>
      </c>
      <c r="R9" s="2">
        <f t="shared" si="7"/>
        <v>0</v>
      </c>
      <c r="S9" s="2">
        <f t="shared" si="8"/>
        <v>0</v>
      </c>
      <c r="T9" s="2">
        <f t="shared" si="9"/>
        <v>0.96844243719243717</v>
      </c>
      <c r="U9" s="2">
        <f t="shared" si="10"/>
        <v>2.8773310023310024E-2</v>
      </c>
      <c r="V9" s="2">
        <f t="shared" si="1"/>
        <v>0</v>
      </c>
    </row>
    <row r="10" spans="1:23" x14ac:dyDescent="0.3">
      <c r="A10" t="s">
        <v>69</v>
      </c>
      <c r="B10" s="7">
        <v>0</v>
      </c>
      <c r="C10" s="7">
        <v>0</v>
      </c>
      <c r="D10" s="7">
        <v>0</v>
      </c>
      <c r="E10" s="7">
        <v>1773</v>
      </c>
      <c r="F10" s="7">
        <v>0</v>
      </c>
      <c r="G10" s="7">
        <v>16</v>
      </c>
      <c r="H10" s="7">
        <v>0</v>
      </c>
      <c r="I10" s="7">
        <v>1096425</v>
      </c>
      <c r="J10" s="7">
        <v>26</v>
      </c>
      <c r="L10" s="7">
        <f t="shared" si="2"/>
        <v>1098240</v>
      </c>
      <c r="N10" s="2">
        <f t="shared" si="3"/>
        <v>0</v>
      </c>
      <c r="O10" s="2">
        <f t="shared" si="4"/>
        <v>0</v>
      </c>
      <c r="P10" s="2">
        <f t="shared" si="5"/>
        <v>0</v>
      </c>
      <c r="Q10" s="2">
        <f t="shared" si="6"/>
        <v>1.6144012237762238E-3</v>
      </c>
      <c r="R10" s="2">
        <f t="shared" si="7"/>
        <v>0</v>
      </c>
      <c r="S10" s="2">
        <f t="shared" si="8"/>
        <v>1.4568764568764569E-5</v>
      </c>
      <c r="T10" s="2">
        <f t="shared" si="9"/>
        <v>0</v>
      </c>
      <c r="U10" s="2">
        <f t="shared" si="10"/>
        <v>0.99834735576923073</v>
      </c>
      <c r="V10" s="2">
        <f t="shared" si="1"/>
        <v>2.3674242424242424E-5</v>
      </c>
    </row>
    <row r="11" spans="1:23" x14ac:dyDescent="0.3">
      <c r="A11" t="s">
        <v>70</v>
      </c>
      <c r="B11" s="7">
        <v>0</v>
      </c>
      <c r="C11" s="7">
        <v>0</v>
      </c>
      <c r="D11" s="7">
        <v>0</v>
      </c>
      <c r="E11" s="7">
        <v>18211</v>
      </c>
      <c r="F11" s="7">
        <v>0</v>
      </c>
      <c r="G11" s="7">
        <v>0</v>
      </c>
      <c r="H11" s="7">
        <v>0</v>
      </c>
      <c r="I11" s="7">
        <v>0</v>
      </c>
      <c r="J11" s="7">
        <v>1284329</v>
      </c>
      <c r="L11" s="7">
        <f t="shared" si="2"/>
        <v>1302540</v>
      </c>
      <c r="N11" s="2">
        <f t="shared" si="3"/>
        <v>0</v>
      </c>
      <c r="O11" s="2">
        <f t="shared" si="4"/>
        <v>0</v>
      </c>
      <c r="P11" s="2">
        <f t="shared" si="5"/>
        <v>0</v>
      </c>
      <c r="Q11" s="2">
        <f t="shared" si="6"/>
        <v>1.398114453298939E-2</v>
      </c>
      <c r="R11" s="2">
        <f t="shared" si="7"/>
        <v>0</v>
      </c>
      <c r="S11" s="2">
        <f t="shared" si="8"/>
        <v>0</v>
      </c>
      <c r="T11" s="2">
        <f t="shared" si="9"/>
        <v>0</v>
      </c>
      <c r="U11" s="2">
        <f t="shared" si="10"/>
        <v>0</v>
      </c>
      <c r="V11" s="2">
        <f t="shared" si="1"/>
        <v>0.98601885546701062</v>
      </c>
    </row>
    <row r="12" spans="1:23" x14ac:dyDescent="0.3">
      <c r="K12" s="7">
        <f>SUM(B3,C4,D5,E6,F7,G8,H9,I10,J11)</f>
        <v>2574911</v>
      </c>
      <c r="L12" s="7">
        <f>SUM(L3:L11)</f>
        <v>2598960</v>
      </c>
      <c r="W12" s="2">
        <f>K12/L12</f>
        <v>0.99074668328870008</v>
      </c>
    </row>
    <row r="14" spans="1:23" x14ac:dyDescent="0.3">
      <c r="L14" s="7" t="s">
        <v>72</v>
      </c>
      <c r="N14" s="2" t="s">
        <v>62</v>
      </c>
      <c r="O14" s="2" t="s">
        <v>63</v>
      </c>
      <c r="P14" s="2" t="s">
        <v>64</v>
      </c>
      <c r="Q14" s="2" t="s">
        <v>65</v>
      </c>
      <c r="R14" s="2" t="s">
        <v>66</v>
      </c>
      <c r="S14" s="2" t="s">
        <v>67</v>
      </c>
      <c r="T14" s="2" t="s">
        <v>68</v>
      </c>
      <c r="U14" s="2" t="s">
        <v>69</v>
      </c>
      <c r="V14" s="2" t="s">
        <v>70</v>
      </c>
    </row>
    <row r="15" spans="1:23" x14ac:dyDescent="0.3">
      <c r="B15" s="7">
        <v>0</v>
      </c>
      <c r="C15" s="7">
        <v>0</v>
      </c>
      <c r="D15" s="7">
        <v>0</v>
      </c>
      <c r="E15" s="7">
        <v>40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L15" s="7">
        <f>SUM(B15:J15)</f>
        <v>40</v>
      </c>
      <c r="N15" s="2">
        <f>B15/$L15</f>
        <v>0</v>
      </c>
      <c r="O15" s="2">
        <f t="shared" ref="O15:O23" si="11">C15/$L15</f>
        <v>0</v>
      </c>
      <c r="P15" s="2">
        <f t="shared" ref="P15:P23" si="12">D15/$L15</f>
        <v>0</v>
      </c>
      <c r="Q15" s="2">
        <f t="shared" ref="Q15:Q23" si="13">E15/$L15</f>
        <v>1</v>
      </c>
      <c r="R15" s="2">
        <f t="shared" ref="R15:R23" si="14">F15/$L15</f>
        <v>0</v>
      </c>
      <c r="S15" s="2">
        <f t="shared" ref="S15:S23" si="15">G15/$L15</f>
        <v>0</v>
      </c>
      <c r="T15" s="2">
        <f t="shared" ref="T15:T23" si="16">H15/$L15</f>
        <v>0</v>
      </c>
      <c r="U15" s="2">
        <f>I15/$L15</f>
        <v>0</v>
      </c>
      <c r="V15" s="2">
        <f t="shared" ref="V15:V23" si="17">J15/$L15</f>
        <v>0</v>
      </c>
    </row>
    <row r="16" spans="1:23" x14ac:dyDescent="0.3">
      <c r="B16" s="7">
        <v>0</v>
      </c>
      <c r="C16" s="7">
        <v>586</v>
      </c>
      <c r="D16" s="7">
        <v>0</v>
      </c>
      <c r="E16" s="7">
        <v>0</v>
      </c>
      <c r="F16" s="7">
        <v>0</v>
      </c>
      <c r="G16" s="7">
        <v>38</v>
      </c>
      <c r="H16" s="7">
        <v>0</v>
      </c>
      <c r="I16" s="7">
        <v>0</v>
      </c>
      <c r="J16" s="7">
        <v>0</v>
      </c>
      <c r="L16" s="7">
        <f t="shared" ref="L16:L23" si="18">SUM(B16:J16)</f>
        <v>624</v>
      </c>
      <c r="N16" s="2">
        <f t="shared" ref="N16:N23" si="19">B16/$L16</f>
        <v>0</v>
      </c>
      <c r="O16" s="2">
        <f t="shared" si="11"/>
        <v>0.9391025641025641</v>
      </c>
      <c r="P16" s="2">
        <f t="shared" si="12"/>
        <v>0</v>
      </c>
      <c r="Q16" s="2">
        <f t="shared" si="13"/>
        <v>0</v>
      </c>
      <c r="R16" s="2">
        <f t="shared" si="14"/>
        <v>0</v>
      </c>
      <c r="S16" s="2">
        <f t="shared" si="15"/>
        <v>6.0897435897435896E-2</v>
      </c>
      <c r="T16" s="2">
        <f t="shared" si="16"/>
        <v>0</v>
      </c>
      <c r="U16" s="2">
        <f t="shared" ref="U16:U23" si="20">I16/$L16</f>
        <v>0</v>
      </c>
      <c r="V16" s="2">
        <f t="shared" si="17"/>
        <v>0</v>
      </c>
    </row>
    <row r="17" spans="1:23" x14ac:dyDescent="0.3">
      <c r="B17" s="7">
        <v>0</v>
      </c>
      <c r="C17" s="7">
        <v>0</v>
      </c>
      <c r="D17" s="7">
        <v>3744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L17" s="7">
        <f t="shared" si="18"/>
        <v>3744</v>
      </c>
      <c r="N17" s="2">
        <f t="shared" si="19"/>
        <v>0</v>
      </c>
      <c r="O17" s="2">
        <f t="shared" si="11"/>
        <v>0</v>
      </c>
      <c r="P17" s="2">
        <f t="shared" si="12"/>
        <v>1</v>
      </c>
      <c r="Q17" s="2">
        <f t="shared" si="13"/>
        <v>0</v>
      </c>
      <c r="R17" s="2">
        <f t="shared" si="14"/>
        <v>0</v>
      </c>
      <c r="S17" s="2">
        <f t="shared" si="15"/>
        <v>0</v>
      </c>
      <c r="T17" s="2">
        <f t="shared" si="16"/>
        <v>0</v>
      </c>
      <c r="U17" s="2">
        <f t="shared" si="20"/>
        <v>0</v>
      </c>
      <c r="V17" s="2">
        <f t="shared" si="17"/>
        <v>0</v>
      </c>
    </row>
    <row r="18" spans="1:23" x14ac:dyDescent="0.3">
      <c r="B18" s="7">
        <v>0</v>
      </c>
      <c r="C18" s="7">
        <v>0</v>
      </c>
      <c r="D18" s="7">
        <v>0</v>
      </c>
      <c r="E18" s="7">
        <v>5108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L18" s="7">
        <f t="shared" si="18"/>
        <v>5108</v>
      </c>
      <c r="N18" s="2">
        <f t="shared" si="19"/>
        <v>0</v>
      </c>
      <c r="O18" s="2">
        <f t="shared" si="11"/>
        <v>0</v>
      </c>
      <c r="P18" s="2">
        <f t="shared" si="12"/>
        <v>0</v>
      </c>
      <c r="Q18" s="2">
        <f t="shared" si="13"/>
        <v>1</v>
      </c>
      <c r="R18" s="2">
        <f t="shared" si="14"/>
        <v>0</v>
      </c>
      <c r="S18" s="2">
        <f t="shared" si="15"/>
        <v>0</v>
      </c>
      <c r="T18" s="2">
        <f t="shared" si="16"/>
        <v>0</v>
      </c>
      <c r="U18" s="2">
        <f t="shared" si="20"/>
        <v>0</v>
      </c>
      <c r="V18" s="2">
        <f t="shared" si="17"/>
        <v>0</v>
      </c>
    </row>
    <row r="19" spans="1:23" x14ac:dyDescent="0.3">
      <c r="B19" s="7">
        <v>0</v>
      </c>
      <c r="C19" s="7">
        <v>0</v>
      </c>
      <c r="D19" s="7">
        <v>0</v>
      </c>
      <c r="E19" s="7">
        <v>0</v>
      </c>
      <c r="F19" s="7">
        <v>10195</v>
      </c>
      <c r="G19" s="7">
        <v>0</v>
      </c>
      <c r="H19" s="7">
        <v>0</v>
      </c>
      <c r="I19" s="7">
        <v>0</v>
      </c>
      <c r="J19" s="7">
        <v>5</v>
      </c>
      <c r="L19" s="7">
        <f t="shared" si="18"/>
        <v>10200</v>
      </c>
      <c r="N19" s="2">
        <f t="shared" si="19"/>
        <v>0</v>
      </c>
      <c r="O19" s="2">
        <f t="shared" si="11"/>
        <v>0</v>
      </c>
      <c r="P19" s="2">
        <f t="shared" si="12"/>
        <v>0</v>
      </c>
      <c r="Q19" s="2">
        <f t="shared" si="13"/>
        <v>0</v>
      </c>
      <c r="R19" s="2">
        <f t="shared" si="14"/>
        <v>0.99950980392156863</v>
      </c>
      <c r="S19" s="2">
        <f t="shared" si="15"/>
        <v>0</v>
      </c>
      <c r="T19" s="2">
        <f t="shared" si="16"/>
        <v>0</v>
      </c>
      <c r="U19" s="2">
        <f t="shared" si="20"/>
        <v>0</v>
      </c>
      <c r="V19" s="2">
        <f t="shared" si="17"/>
        <v>4.9019607843137254E-4</v>
      </c>
    </row>
    <row r="20" spans="1:23" x14ac:dyDescent="0.3"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54912</v>
      </c>
      <c r="H20" s="7">
        <v>0</v>
      </c>
      <c r="I20" s="7">
        <v>0</v>
      </c>
      <c r="J20" s="7">
        <v>0</v>
      </c>
      <c r="L20" s="7">
        <f t="shared" si="18"/>
        <v>54912</v>
      </c>
      <c r="N20" s="2">
        <f t="shared" si="19"/>
        <v>0</v>
      </c>
      <c r="O20" s="2">
        <f t="shared" si="11"/>
        <v>0</v>
      </c>
      <c r="P20" s="2">
        <f t="shared" si="12"/>
        <v>0</v>
      </c>
      <c r="Q20" s="2">
        <f t="shared" si="13"/>
        <v>0</v>
      </c>
      <c r="R20" s="2">
        <f t="shared" si="14"/>
        <v>0</v>
      </c>
      <c r="S20" s="2">
        <f t="shared" si="15"/>
        <v>1</v>
      </c>
      <c r="T20" s="2">
        <f t="shared" si="16"/>
        <v>0</v>
      </c>
      <c r="U20" s="2">
        <f t="shared" si="20"/>
        <v>0</v>
      </c>
      <c r="V20" s="2">
        <f t="shared" si="17"/>
        <v>0</v>
      </c>
    </row>
    <row r="21" spans="1:23" x14ac:dyDescent="0.3">
      <c r="B21" s="7">
        <v>0</v>
      </c>
      <c r="C21" s="7">
        <v>0</v>
      </c>
      <c r="D21" s="7">
        <v>212</v>
      </c>
      <c r="E21" s="7">
        <v>0</v>
      </c>
      <c r="F21" s="7">
        <v>0</v>
      </c>
      <c r="G21" s="7">
        <v>0</v>
      </c>
      <c r="H21" s="7">
        <v>112229</v>
      </c>
      <c r="I21" s="7">
        <v>11111</v>
      </c>
      <c r="J21" s="7">
        <v>0</v>
      </c>
      <c r="L21" s="7">
        <f t="shared" si="18"/>
        <v>123552</v>
      </c>
      <c r="N21" s="2">
        <f t="shared" si="19"/>
        <v>0</v>
      </c>
      <c r="O21" s="2">
        <f t="shared" si="11"/>
        <v>0</v>
      </c>
      <c r="P21" s="2">
        <f t="shared" si="12"/>
        <v>1.7158767158767158E-3</v>
      </c>
      <c r="Q21" s="2">
        <f t="shared" si="13"/>
        <v>0</v>
      </c>
      <c r="R21" s="2">
        <f t="shared" si="14"/>
        <v>0</v>
      </c>
      <c r="S21" s="2">
        <f t="shared" si="15"/>
        <v>0</v>
      </c>
      <c r="T21" s="2">
        <f t="shared" si="16"/>
        <v>0.90835437710437705</v>
      </c>
      <c r="U21" s="2">
        <f t="shared" si="20"/>
        <v>8.9929746179746181E-2</v>
      </c>
      <c r="V21" s="2">
        <f t="shared" si="17"/>
        <v>0</v>
      </c>
    </row>
    <row r="22" spans="1:23" x14ac:dyDescent="0.3">
      <c r="B22" s="7">
        <v>0</v>
      </c>
      <c r="C22" s="7">
        <v>0</v>
      </c>
      <c r="D22" s="7">
        <v>0</v>
      </c>
      <c r="E22" s="7">
        <v>1175</v>
      </c>
      <c r="F22" s="7">
        <v>0</v>
      </c>
      <c r="G22" s="7">
        <v>7</v>
      </c>
      <c r="H22" s="7">
        <v>0</v>
      </c>
      <c r="I22" s="7">
        <v>1097043</v>
      </c>
      <c r="J22" s="7">
        <v>15</v>
      </c>
      <c r="L22" s="7">
        <f t="shared" si="18"/>
        <v>1098240</v>
      </c>
      <c r="N22" s="2">
        <f t="shared" si="19"/>
        <v>0</v>
      </c>
      <c r="O22" s="2">
        <f t="shared" si="11"/>
        <v>0</v>
      </c>
      <c r="P22" s="2">
        <f t="shared" si="12"/>
        <v>0</v>
      </c>
      <c r="Q22" s="2">
        <f t="shared" si="13"/>
        <v>1.069893648018648E-3</v>
      </c>
      <c r="R22" s="2">
        <f t="shared" si="14"/>
        <v>0</v>
      </c>
      <c r="S22" s="2">
        <f t="shared" si="15"/>
        <v>6.3738344988344988E-6</v>
      </c>
      <c r="T22" s="2">
        <f t="shared" si="16"/>
        <v>0</v>
      </c>
      <c r="U22" s="2">
        <f t="shared" si="20"/>
        <v>0.99891007430069934</v>
      </c>
      <c r="V22" s="2">
        <f t="shared" si="17"/>
        <v>1.3658216783216783E-5</v>
      </c>
    </row>
    <row r="23" spans="1:23" x14ac:dyDescent="0.3">
      <c r="B23" s="7">
        <v>0</v>
      </c>
      <c r="C23" s="7">
        <v>0</v>
      </c>
      <c r="D23" s="7">
        <v>0</v>
      </c>
      <c r="E23" s="7">
        <v>11870</v>
      </c>
      <c r="F23" s="7">
        <v>0</v>
      </c>
      <c r="G23" s="7">
        <v>0</v>
      </c>
      <c r="H23" s="7">
        <v>0</v>
      </c>
      <c r="I23" s="7">
        <v>0</v>
      </c>
      <c r="J23" s="7">
        <v>1290670</v>
      </c>
      <c r="L23" s="7">
        <f t="shared" si="18"/>
        <v>1302540</v>
      </c>
      <c r="N23" s="2">
        <f t="shared" si="19"/>
        <v>0</v>
      </c>
      <c r="O23" s="2">
        <f t="shared" si="11"/>
        <v>0</v>
      </c>
      <c r="P23" s="2">
        <f t="shared" si="12"/>
        <v>0</v>
      </c>
      <c r="Q23" s="2">
        <f t="shared" si="13"/>
        <v>9.1129639013005359E-3</v>
      </c>
      <c r="R23" s="2">
        <f t="shared" si="14"/>
        <v>0</v>
      </c>
      <c r="S23" s="2">
        <f t="shared" si="15"/>
        <v>0</v>
      </c>
      <c r="T23" s="2">
        <f t="shared" si="16"/>
        <v>0</v>
      </c>
      <c r="U23" s="2">
        <f t="shared" si="20"/>
        <v>0</v>
      </c>
      <c r="V23" s="2">
        <f t="shared" si="17"/>
        <v>0.99088703609869944</v>
      </c>
    </row>
    <row r="24" spans="1:23" x14ac:dyDescent="0.3">
      <c r="K24" s="7">
        <f>SUM(B15,C16,D17,E18,F19,G20,H21,I22,J23)</f>
        <v>2574487</v>
      </c>
      <c r="L24" s="7">
        <f>SUM(L15:L23)</f>
        <v>2598960</v>
      </c>
      <c r="W24" s="2">
        <f>K24/L24</f>
        <v>0.99058354110875124</v>
      </c>
    </row>
    <row r="26" spans="1:23" x14ac:dyDescent="0.3">
      <c r="B26" s="7" t="s">
        <v>62</v>
      </c>
      <c r="C26" s="7" t="s">
        <v>63</v>
      </c>
      <c r="D26" s="7" t="s">
        <v>64</v>
      </c>
      <c r="E26" s="7" t="s">
        <v>65</v>
      </c>
      <c r="F26" s="7" t="s">
        <v>66</v>
      </c>
      <c r="G26" s="7" t="s">
        <v>67</v>
      </c>
      <c r="H26" s="7" t="s">
        <v>68</v>
      </c>
      <c r="I26" s="7" t="s">
        <v>69</v>
      </c>
      <c r="J26" s="7" t="s">
        <v>70</v>
      </c>
      <c r="L26" s="7" t="s">
        <v>72</v>
      </c>
      <c r="N26" s="2" t="s">
        <v>62</v>
      </c>
      <c r="O26" s="2" t="s">
        <v>63</v>
      </c>
      <c r="P26" s="2" t="s">
        <v>64</v>
      </c>
      <c r="Q26" s="2" t="s">
        <v>65</v>
      </c>
      <c r="R26" s="2" t="s">
        <v>66</v>
      </c>
      <c r="S26" s="2" t="s">
        <v>67</v>
      </c>
      <c r="T26" s="2" t="s">
        <v>68</v>
      </c>
      <c r="U26" s="2" t="s">
        <v>69</v>
      </c>
      <c r="V26" s="2" t="s">
        <v>70</v>
      </c>
    </row>
    <row r="27" spans="1:23" x14ac:dyDescent="0.3">
      <c r="A27" t="s">
        <v>62</v>
      </c>
      <c r="B27" s="7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40</v>
      </c>
      <c r="L27" s="7">
        <f>SUM(B27:J27)</f>
        <v>40</v>
      </c>
      <c r="N27" s="2">
        <f>B27/$L27</f>
        <v>0</v>
      </c>
      <c r="O27" s="2">
        <f t="shared" ref="O27:O35" si="21">C27/$L27</f>
        <v>0</v>
      </c>
      <c r="P27" s="2">
        <f t="shared" ref="P27:P35" si="22">D27/$L27</f>
        <v>0</v>
      </c>
      <c r="Q27" s="2">
        <f t="shared" ref="Q27:Q35" si="23">E27/$L27</f>
        <v>0</v>
      </c>
      <c r="R27" s="2">
        <f t="shared" ref="R27:R35" si="24">F27/$L27</f>
        <v>0</v>
      </c>
      <c r="S27" s="2">
        <f t="shared" ref="S27:S35" si="25">G27/$L27</f>
        <v>0</v>
      </c>
      <c r="T27" s="2">
        <f t="shared" ref="T27:T35" si="26">H27/$L27</f>
        <v>0</v>
      </c>
      <c r="U27" s="2">
        <f>I27/$L27</f>
        <v>0</v>
      </c>
      <c r="V27" s="2">
        <f t="shared" ref="V27:V35" si="27">J27/$L27</f>
        <v>1</v>
      </c>
    </row>
    <row r="28" spans="1:23" x14ac:dyDescent="0.3">
      <c r="A28" t="s">
        <v>63</v>
      </c>
      <c r="B28" s="7">
        <v>0</v>
      </c>
      <c r="C28" s="7">
        <v>0</v>
      </c>
      <c r="D28" s="7">
        <v>15</v>
      </c>
      <c r="E28" s="7">
        <v>0</v>
      </c>
      <c r="F28" s="7">
        <v>0</v>
      </c>
      <c r="G28" s="7">
        <v>609</v>
      </c>
      <c r="H28" s="7">
        <v>0</v>
      </c>
      <c r="I28" s="7">
        <v>0</v>
      </c>
      <c r="J28" s="7">
        <v>0</v>
      </c>
      <c r="L28" s="7">
        <f t="shared" ref="L28:L35" si="28">SUM(B28:J28)</f>
        <v>624</v>
      </c>
      <c r="N28" s="2">
        <f t="shared" ref="N28:N35" si="29">B28/$L28</f>
        <v>0</v>
      </c>
      <c r="O28" s="2">
        <f t="shared" si="21"/>
        <v>0</v>
      </c>
      <c r="P28" s="2">
        <f t="shared" si="22"/>
        <v>2.403846153846154E-2</v>
      </c>
      <c r="Q28" s="2">
        <f t="shared" si="23"/>
        <v>0</v>
      </c>
      <c r="R28" s="2">
        <f t="shared" si="24"/>
        <v>0</v>
      </c>
      <c r="S28" s="2">
        <f t="shared" si="25"/>
        <v>0.97596153846153844</v>
      </c>
      <c r="T28" s="2">
        <f t="shared" si="26"/>
        <v>0</v>
      </c>
      <c r="U28" s="2">
        <f t="shared" ref="U28:U35" si="30">I28/$L28</f>
        <v>0</v>
      </c>
      <c r="V28" s="2">
        <f t="shared" si="27"/>
        <v>0</v>
      </c>
    </row>
    <row r="29" spans="1:23" x14ac:dyDescent="0.3">
      <c r="A29" t="s">
        <v>64</v>
      </c>
      <c r="B29" s="7">
        <v>0</v>
      </c>
      <c r="C29" s="7">
        <v>0</v>
      </c>
      <c r="D29" s="7">
        <v>3130</v>
      </c>
      <c r="E29" s="7">
        <v>0</v>
      </c>
      <c r="F29" s="7">
        <v>0</v>
      </c>
      <c r="G29" s="7">
        <v>614</v>
      </c>
      <c r="H29" s="7">
        <v>0</v>
      </c>
      <c r="I29" s="7">
        <v>0</v>
      </c>
      <c r="J29" s="7">
        <v>0</v>
      </c>
      <c r="L29" s="7">
        <f t="shared" si="28"/>
        <v>3744</v>
      </c>
      <c r="N29" s="2">
        <f t="shared" si="29"/>
        <v>0</v>
      </c>
      <c r="O29" s="2">
        <f t="shared" si="21"/>
        <v>0</v>
      </c>
      <c r="P29" s="2">
        <f t="shared" si="22"/>
        <v>0.83600427350427353</v>
      </c>
      <c r="Q29" s="2">
        <f t="shared" si="23"/>
        <v>0</v>
      </c>
      <c r="R29" s="2">
        <f t="shared" si="24"/>
        <v>0</v>
      </c>
      <c r="S29" s="2">
        <f t="shared" si="25"/>
        <v>0.1639957264957265</v>
      </c>
      <c r="T29" s="2">
        <f t="shared" si="26"/>
        <v>0</v>
      </c>
      <c r="U29" s="2">
        <f t="shared" si="30"/>
        <v>0</v>
      </c>
      <c r="V29" s="2">
        <f t="shared" si="27"/>
        <v>0</v>
      </c>
    </row>
    <row r="30" spans="1:23" x14ac:dyDescent="0.3">
      <c r="A30" t="s">
        <v>65</v>
      </c>
      <c r="B30" s="7">
        <v>0</v>
      </c>
      <c r="C30" s="7">
        <v>0</v>
      </c>
      <c r="D30" s="7">
        <v>0</v>
      </c>
      <c r="E30" s="7">
        <v>4</v>
      </c>
      <c r="F30" s="7">
        <v>0</v>
      </c>
      <c r="G30" s="7">
        <v>0</v>
      </c>
      <c r="H30" s="7">
        <v>0</v>
      </c>
      <c r="I30" s="7">
        <v>0</v>
      </c>
      <c r="J30" s="7">
        <v>5104</v>
      </c>
      <c r="L30" s="7">
        <f t="shared" si="28"/>
        <v>5108</v>
      </c>
      <c r="N30" s="2">
        <f t="shared" si="29"/>
        <v>0</v>
      </c>
      <c r="O30" s="2">
        <f t="shared" si="21"/>
        <v>0</v>
      </c>
      <c r="P30" s="2">
        <f t="shared" si="22"/>
        <v>0</v>
      </c>
      <c r="Q30" s="2">
        <f t="shared" si="23"/>
        <v>7.8308535630383712E-4</v>
      </c>
      <c r="R30" s="2">
        <f t="shared" si="24"/>
        <v>0</v>
      </c>
      <c r="S30" s="2">
        <f t="shared" si="25"/>
        <v>0</v>
      </c>
      <c r="T30" s="2">
        <f t="shared" si="26"/>
        <v>0</v>
      </c>
      <c r="U30" s="2">
        <f t="shared" si="30"/>
        <v>0</v>
      </c>
      <c r="V30" s="2">
        <f t="shared" si="27"/>
        <v>0.99921691464369611</v>
      </c>
    </row>
    <row r="31" spans="1:23" x14ac:dyDescent="0.3">
      <c r="A31" t="s">
        <v>66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10200</v>
      </c>
      <c r="L31" s="7">
        <f t="shared" si="28"/>
        <v>10200</v>
      </c>
      <c r="N31" s="2">
        <f t="shared" si="29"/>
        <v>0</v>
      </c>
      <c r="O31" s="2">
        <f t="shared" si="21"/>
        <v>0</v>
      </c>
      <c r="P31" s="2">
        <f t="shared" si="22"/>
        <v>0</v>
      </c>
      <c r="Q31" s="2">
        <f t="shared" si="23"/>
        <v>0</v>
      </c>
      <c r="R31" s="2">
        <f t="shared" si="24"/>
        <v>0</v>
      </c>
      <c r="S31" s="2">
        <f t="shared" si="25"/>
        <v>0</v>
      </c>
      <c r="T31" s="2">
        <f t="shared" si="26"/>
        <v>0</v>
      </c>
      <c r="U31" s="2">
        <f t="shared" si="30"/>
        <v>0</v>
      </c>
      <c r="V31" s="2">
        <f t="shared" si="27"/>
        <v>1</v>
      </c>
    </row>
    <row r="32" spans="1:23" x14ac:dyDescent="0.3">
      <c r="A32" t="s">
        <v>67</v>
      </c>
      <c r="B32" s="7">
        <v>0</v>
      </c>
      <c r="C32" s="7">
        <v>0</v>
      </c>
      <c r="D32" s="7">
        <v>314</v>
      </c>
      <c r="E32" s="7">
        <v>0</v>
      </c>
      <c r="F32" s="7">
        <v>0</v>
      </c>
      <c r="G32" s="7">
        <v>54439</v>
      </c>
      <c r="H32" s="7">
        <v>0</v>
      </c>
      <c r="I32" s="7">
        <v>159</v>
      </c>
      <c r="J32" s="7">
        <v>0</v>
      </c>
      <c r="L32" s="7">
        <f t="shared" si="28"/>
        <v>54912</v>
      </c>
      <c r="N32" s="2">
        <f t="shared" si="29"/>
        <v>0</v>
      </c>
      <c r="O32" s="2">
        <f t="shared" si="21"/>
        <v>0</v>
      </c>
      <c r="P32" s="2">
        <f t="shared" si="22"/>
        <v>5.718240093240093E-3</v>
      </c>
      <c r="Q32" s="2">
        <f t="shared" si="23"/>
        <v>0</v>
      </c>
      <c r="R32" s="2">
        <f t="shared" si="24"/>
        <v>0</v>
      </c>
      <c r="S32" s="2">
        <f t="shared" si="25"/>
        <v>0.99138621794871795</v>
      </c>
      <c r="T32" s="2">
        <f t="shared" si="26"/>
        <v>0</v>
      </c>
      <c r="U32" s="2">
        <f t="shared" si="30"/>
        <v>2.895541958041958E-3</v>
      </c>
      <c r="V32" s="2">
        <f t="shared" si="27"/>
        <v>0</v>
      </c>
    </row>
    <row r="33" spans="1:23" x14ac:dyDescent="0.3">
      <c r="A33" t="s">
        <v>68</v>
      </c>
      <c r="B33" s="7">
        <v>0</v>
      </c>
      <c r="C33" s="7">
        <v>0</v>
      </c>
      <c r="D33" s="7">
        <v>118</v>
      </c>
      <c r="E33" s="7">
        <v>0</v>
      </c>
      <c r="F33" s="7">
        <v>0</v>
      </c>
      <c r="G33" s="7">
        <v>59</v>
      </c>
      <c r="H33" s="7">
        <v>123204</v>
      </c>
      <c r="I33" s="7">
        <v>171</v>
      </c>
      <c r="J33" s="7">
        <v>0</v>
      </c>
      <c r="L33" s="7">
        <f t="shared" si="28"/>
        <v>123552</v>
      </c>
      <c r="N33" s="2">
        <f t="shared" si="29"/>
        <v>0</v>
      </c>
      <c r="O33" s="2">
        <f t="shared" si="21"/>
        <v>0</v>
      </c>
      <c r="P33" s="2">
        <f t="shared" si="22"/>
        <v>9.5506345506345504E-4</v>
      </c>
      <c r="Q33" s="2">
        <f t="shared" si="23"/>
        <v>0</v>
      </c>
      <c r="R33" s="2">
        <f t="shared" si="24"/>
        <v>0</v>
      </c>
      <c r="S33" s="2">
        <f t="shared" si="25"/>
        <v>4.7753172753172752E-4</v>
      </c>
      <c r="T33" s="2">
        <f t="shared" si="26"/>
        <v>0.99718337218337216</v>
      </c>
      <c r="U33" s="2">
        <f t="shared" si="30"/>
        <v>1.384032634032634E-3</v>
      </c>
      <c r="V33" s="2">
        <f t="shared" si="27"/>
        <v>0</v>
      </c>
    </row>
    <row r="34" spans="1:23" x14ac:dyDescent="0.3">
      <c r="A34" t="s">
        <v>69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1094626</v>
      </c>
      <c r="J34" s="7">
        <v>3614</v>
      </c>
      <c r="L34" s="7">
        <f t="shared" si="28"/>
        <v>1098240</v>
      </c>
      <c r="N34" s="2">
        <f t="shared" si="29"/>
        <v>0</v>
      </c>
      <c r="O34" s="2">
        <f t="shared" si="21"/>
        <v>0</v>
      </c>
      <c r="P34" s="2">
        <f t="shared" si="22"/>
        <v>0</v>
      </c>
      <c r="Q34" s="2">
        <f t="shared" si="23"/>
        <v>0</v>
      </c>
      <c r="R34" s="2">
        <f t="shared" si="24"/>
        <v>0</v>
      </c>
      <c r="S34" s="2">
        <f t="shared" si="25"/>
        <v>0</v>
      </c>
      <c r="T34" s="2">
        <f t="shared" si="26"/>
        <v>0</v>
      </c>
      <c r="U34" s="2">
        <f t="shared" si="30"/>
        <v>0.9967092803030303</v>
      </c>
      <c r="V34" s="2">
        <f t="shared" si="27"/>
        <v>3.2907196969696969E-3</v>
      </c>
    </row>
    <row r="35" spans="1:23" x14ac:dyDescent="0.3">
      <c r="A35" t="s">
        <v>70</v>
      </c>
      <c r="B35" s="7">
        <v>0</v>
      </c>
      <c r="C35" s="7">
        <v>0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1302540</v>
      </c>
      <c r="L35" s="7">
        <f t="shared" si="28"/>
        <v>1302540</v>
      </c>
      <c r="N35" s="2">
        <f t="shared" si="29"/>
        <v>0</v>
      </c>
      <c r="O35" s="2">
        <f t="shared" si="21"/>
        <v>0</v>
      </c>
      <c r="P35" s="2">
        <f t="shared" si="22"/>
        <v>0</v>
      </c>
      <c r="Q35" s="2">
        <f t="shared" si="23"/>
        <v>0</v>
      </c>
      <c r="R35" s="2">
        <f t="shared" si="24"/>
        <v>0</v>
      </c>
      <c r="S35" s="2">
        <f t="shared" si="25"/>
        <v>0</v>
      </c>
      <c r="T35" s="2">
        <f t="shared" si="26"/>
        <v>0</v>
      </c>
      <c r="U35" s="2">
        <f t="shared" si="30"/>
        <v>0</v>
      </c>
      <c r="V35" s="2">
        <f t="shared" si="27"/>
        <v>1</v>
      </c>
    </row>
    <row r="36" spans="1:23" x14ac:dyDescent="0.3">
      <c r="K36" s="7">
        <f>SUM(B27,C28,D29,E30,F31,G32,H33,I34,J35)</f>
        <v>2577943</v>
      </c>
      <c r="L36" s="7">
        <f>SUM(L27:L35)</f>
        <v>2598960</v>
      </c>
      <c r="W36" s="2">
        <f>K36/L36</f>
        <v>0.99191330378305165</v>
      </c>
    </row>
    <row r="38" spans="1:23" x14ac:dyDescent="0.3">
      <c r="B38" s="7" t="s">
        <v>62</v>
      </c>
      <c r="C38" s="7" t="s">
        <v>63</v>
      </c>
      <c r="D38" s="7" t="s">
        <v>64</v>
      </c>
      <c r="E38" s="7" t="s">
        <v>65</v>
      </c>
      <c r="F38" s="7" t="s">
        <v>66</v>
      </c>
      <c r="G38" s="7" t="s">
        <v>67</v>
      </c>
      <c r="H38" s="7" t="s">
        <v>68</v>
      </c>
      <c r="I38" s="7" t="s">
        <v>69</v>
      </c>
      <c r="J38" s="7" t="s">
        <v>70</v>
      </c>
      <c r="L38" s="7" t="s">
        <v>72</v>
      </c>
      <c r="N38" s="2" t="s">
        <v>62</v>
      </c>
      <c r="O38" s="2" t="s">
        <v>63</v>
      </c>
      <c r="P38" s="2" t="s">
        <v>64</v>
      </c>
      <c r="Q38" s="2" t="s">
        <v>65</v>
      </c>
      <c r="R38" s="2" t="s">
        <v>66</v>
      </c>
      <c r="S38" s="2" t="s">
        <v>67</v>
      </c>
      <c r="T38" s="2" t="s">
        <v>68</v>
      </c>
      <c r="U38" s="2" t="s">
        <v>69</v>
      </c>
      <c r="V38" s="2" t="s">
        <v>70</v>
      </c>
    </row>
    <row r="39" spans="1:23" x14ac:dyDescent="0.3">
      <c r="A39" t="s">
        <v>62</v>
      </c>
      <c r="B39" s="7">
        <v>0</v>
      </c>
      <c r="C39" s="7">
        <v>0</v>
      </c>
      <c r="D39" s="7">
        <v>0</v>
      </c>
      <c r="E39" s="7">
        <v>40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L39" s="7">
        <f>SUM(B39:J39)</f>
        <v>40</v>
      </c>
      <c r="N39" s="2">
        <f>B39/$L39</f>
        <v>0</v>
      </c>
      <c r="O39" s="2">
        <f t="shared" ref="O39:O47" si="31">C39/$L39</f>
        <v>0</v>
      </c>
      <c r="P39" s="2">
        <f t="shared" ref="P39:P47" si="32">D39/$L39</f>
        <v>0</v>
      </c>
      <c r="Q39" s="2">
        <f t="shared" ref="Q39:Q47" si="33">E39/$L39</f>
        <v>1</v>
      </c>
      <c r="R39" s="2">
        <f t="shared" ref="R39:R47" si="34">F39/$L39</f>
        <v>0</v>
      </c>
      <c r="S39" s="2">
        <f t="shared" ref="S39:S47" si="35">G39/$L39</f>
        <v>0</v>
      </c>
      <c r="T39" s="2">
        <f t="shared" ref="T39:T47" si="36">H39/$L39</f>
        <v>0</v>
      </c>
      <c r="U39" s="2">
        <f>I39/$L39</f>
        <v>0</v>
      </c>
      <c r="V39" s="2">
        <f t="shared" ref="V39:V47" si="37">J39/$L39</f>
        <v>0</v>
      </c>
    </row>
    <row r="40" spans="1:23" x14ac:dyDescent="0.3">
      <c r="A40" t="s">
        <v>63</v>
      </c>
      <c r="B40" s="7">
        <v>0</v>
      </c>
      <c r="C40" s="7">
        <v>383</v>
      </c>
      <c r="D40" s="7">
        <v>6</v>
      </c>
      <c r="E40" s="7">
        <v>0</v>
      </c>
      <c r="F40" s="7">
        <v>0</v>
      </c>
      <c r="G40" s="7">
        <v>235</v>
      </c>
      <c r="H40" s="7">
        <v>0</v>
      </c>
      <c r="I40" s="7">
        <v>0</v>
      </c>
      <c r="J40" s="7">
        <v>0</v>
      </c>
      <c r="L40" s="7">
        <f t="shared" ref="L40:L47" si="38">SUM(B40:J40)</f>
        <v>624</v>
      </c>
      <c r="N40" s="2">
        <f t="shared" ref="N40:N47" si="39">B40/$L40</f>
        <v>0</v>
      </c>
      <c r="O40" s="2">
        <f t="shared" si="31"/>
        <v>0.61378205128205132</v>
      </c>
      <c r="P40" s="2">
        <f t="shared" si="32"/>
        <v>9.6153846153846159E-3</v>
      </c>
      <c r="Q40" s="2">
        <f t="shared" si="33"/>
        <v>0</v>
      </c>
      <c r="R40" s="2">
        <f t="shared" si="34"/>
        <v>0</v>
      </c>
      <c r="S40" s="2">
        <f t="shared" si="35"/>
        <v>0.3766025641025641</v>
      </c>
      <c r="T40" s="2">
        <f t="shared" si="36"/>
        <v>0</v>
      </c>
      <c r="U40" s="2">
        <f t="shared" ref="U40:U47" si="40">I40/$L40</f>
        <v>0</v>
      </c>
      <c r="V40" s="2">
        <f t="shared" si="37"/>
        <v>0</v>
      </c>
    </row>
    <row r="41" spans="1:23" x14ac:dyDescent="0.3">
      <c r="A41" t="s">
        <v>64</v>
      </c>
      <c r="B41" s="7">
        <v>0</v>
      </c>
      <c r="C41" s="7">
        <v>0</v>
      </c>
      <c r="D41" s="7">
        <v>3744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L41" s="7">
        <f t="shared" si="38"/>
        <v>3744</v>
      </c>
      <c r="N41" s="2">
        <f t="shared" si="39"/>
        <v>0</v>
      </c>
      <c r="O41" s="2">
        <f t="shared" si="31"/>
        <v>0</v>
      </c>
      <c r="P41" s="2">
        <f t="shared" si="32"/>
        <v>1</v>
      </c>
      <c r="Q41" s="2">
        <f t="shared" si="33"/>
        <v>0</v>
      </c>
      <c r="R41" s="2">
        <f t="shared" si="34"/>
        <v>0</v>
      </c>
      <c r="S41" s="2">
        <f t="shared" si="35"/>
        <v>0</v>
      </c>
      <c r="T41" s="2">
        <f t="shared" si="36"/>
        <v>0</v>
      </c>
      <c r="U41" s="2">
        <f t="shared" si="40"/>
        <v>0</v>
      </c>
      <c r="V41" s="2">
        <f t="shared" si="37"/>
        <v>0</v>
      </c>
    </row>
    <row r="42" spans="1:23" x14ac:dyDescent="0.3">
      <c r="A42" t="s">
        <v>65</v>
      </c>
      <c r="B42" s="7">
        <v>0</v>
      </c>
      <c r="C42" s="7">
        <v>0</v>
      </c>
      <c r="D42" s="7">
        <v>0</v>
      </c>
      <c r="E42" s="7">
        <v>5108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L42" s="7">
        <f t="shared" si="38"/>
        <v>5108</v>
      </c>
      <c r="N42" s="2">
        <f t="shared" si="39"/>
        <v>0</v>
      </c>
      <c r="O42" s="2">
        <f t="shared" si="31"/>
        <v>0</v>
      </c>
      <c r="P42" s="2">
        <f t="shared" si="32"/>
        <v>0</v>
      </c>
      <c r="Q42" s="2">
        <f t="shared" si="33"/>
        <v>1</v>
      </c>
      <c r="R42" s="2">
        <f t="shared" si="34"/>
        <v>0</v>
      </c>
      <c r="S42" s="2">
        <f t="shared" si="35"/>
        <v>0</v>
      </c>
      <c r="T42" s="2">
        <f t="shared" si="36"/>
        <v>0</v>
      </c>
      <c r="U42" s="2">
        <f t="shared" si="40"/>
        <v>0</v>
      </c>
      <c r="V42" s="2">
        <f t="shared" si="37"/>
        <v>0</v>
      </c>
    </row>
    <row r="43" spans="1:23" x14ac:dyDescent="0.3">
      <c r="A43" t="s">
        <v>66</v>
      </c>
      <c r="B43" s="7">
        <v>0</v>
      </c>
      <c r="C43" s="7">
        <v>0</v>
      </c>
      <c r="D43" s="7">
        <v>0</v>
      </c>
      <c r="E43" s="7">
        <v>10</v>
      </c>
      <c r="F43" s="7">
        <v>6279</v>
      </c>
      <c r="G43" s="7">
        <v>0</v>
      </c>
      <c r="H43" s="7">
        <v>0</v>
      </c>
      <c r="I43" s="7">
        <v>0</v>
      </c>
      <c r="J43" s="7">
        <v>3911</v>
      </c>
      <c r="L43" s="7">
        <f t="shared" si="38"/>
        <v>10200</v>
      </c>
      <c r="N43" s="2">
        <f t="shared" si="39"/>
        <v>0</v>
      </c>
      <c r="O43" s="2">
        <f t="shared" si="31"/>
        <v>0</v>
      </c>
      <c r="P43" s="2">
        <f t="shared" si="32"/>
        <v>0</v>
      </c>
      <c r="Q43" s="2">
        <f t="shared" si="33"/>
        <v>9.8039215686274508E-4</v>
      </c>
      <c r="R43" s="2">
        <f t="shared" si="34"/>
        <v>0.61558823529411766</v>
      </c>
      <c r="S43" s="2">
        <f t="shared" si="35"/>
        <v>0</v>
      </c>
      <c r="T43" s="2">
        <f t="shared" si="36"/>
        <v>0</v>
      </c>
      <c r="U43" s="2">
        <f t="shared" si="40"/>
        <v>0</v>
      </c>
      <c r="V43" s="2">
        <f t="shared" si="37"/>
        <v>0.3834313725490196</v>
      </c>
    </row>
    <row r="44" spans="1:23" x14ac:dyDescent="0.3">
      <c r="A44" t="s">
        <v>67</v>
      </c>
      <c r="B44" s="7">
        <v>0</v>
      </c>
      <c r="C44" s="7">
        <v>129</v>
      </c>
      <c r="D44" s="7">
        <v>0</v>
      </c>
      <c r="E44" s="7">
        <v>0</v>
      </c>
      <c r="F44" s="7">
        <v>0</v>
      </c>
      <c r="G44" s="7">
        <v>54778</v>
      </c>
      <c r="H44" s="7">
        <v>0</v>
      </c>
      <c r="I44" s="7">
        <v>0</v>
      </c>
      <c r="J44" s="7">
        <v>5</v>
      </c>
      <c r="L44" s="7">
        <f t="shared" si="38"/>
        <v>54912</v>
      </c>
      <c r="N44" s="2">
        <f t="shared" si="39"/>
        <v>0</v>
      </c>
      <c r="O44" s="2">
        <f t="shared" si="31"/>
        <v>2.3492132867132865E-3</v>
      </c>
      <c r="P44" s="2">
        <f t="shared" si="32"/>
        <v>0</v>
      </c>
      <c r="Q44" s="2">
        <f t="shared" si="33"/>
        <v>0</v>
      </c>
      <c r="R44" s="2">
        <f t="shared" si="34"/>
        <v>0</v>
      </c>
      <c r="S44" s="2">
        <f t="shared" si="35"/>
        <v>0.99755973193473191</v>
      </c>
      <c r="T44" s="2">
        <f t="shared" si="36"/>
        <v>0</v>
      </c>
      <c r="U44" s="2">
        <f t="shared" si="40"/>
        <v>0</v>
      </c>
      <c r="V44" s="2">
        <f t="shared" si="37"/>
        <v>9.1054778554778561E-5</v>
      </c>
    </row>
    <row r="45" spans="1:23" x14ac:dyDescent="0.3">
      <c r="A45" t="s">
        <v>68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123552</v>
      </c>
      <c r="I45" s="7">
        <v>0</v>
      </c>
      <c r="J45" s="7">
        <v>0</v>
      </c>
      <c r="L45" s="7">
        <f t="shared" si="38"/>
        <v>123552</v>
      </c>
      <c r="N45" s="2">
        <f t="shared" si="39"/>
        <v>0</v>
      </c>
      <c r="O45" s="2">
        <f t="shared" si="31"/>
        <v>0</v>
      </c>
      <c r="P45" s="2">
        <f t="shared" si="32"/>
        <v>0</v>
      </c>
      <c r="Q45" s="2">
        <f t="shared" si="33"/>
        <v>0</v>
      </c>
      <c r="R45" s="2">
        <f t="shared" si="34"/>
        <v>0</v>
      </c>
      <c r="S45" s="2">
        <f t="shared" si="35"/>
        <v>0</v>
      </c>
      <c r="T45" s="2">
        <f t="shared" si="36"/>
        <v>1</v>
      </c>
      <c r="U45" s="2">
        <f t="shared" si="40"/>
        <v>0</v>
      </c>
      <c r="V45" s="2">
        <f t="shared" si="37"/>
        <v>0</v>
      </c>
    </row>
    <row r="46" spans="1:23" x14ac:dyDescent="0.3">
      <c r="A46" t="s">
        <v>69</v>
      </c>
      <c r="B46" s="7">
        <v>0</v>
      </c>
      <c r="C46" s="7">
        <v>0</v>
      </c>
      <c r="D46" s="7">
        <v>0</v>
      </c>
      <c r="E46" s="7">
        <v>11</v>
      </c>
      <c r="F46" s="7">
        <v>0</v>
      </c>
      <c r="G46" s="7">
        <v>0</v>
      </c>
      <c r="H46" s="7">
        <v>0</v>
      </c>
      <c r="I46" s="7">
        <v>1098229</v>
      </c>
      <c r="J46" s="7">
        <v>0</v>
      </c>
      <c r="L46" s="7">
        <f t="shared" si="38"/>
        <v>1098240</v>
      </c>
      <c r="N46" s="2">
        <f t="shared" si="39"/>
        <v>0</v>
      </c>
      <c r="O46" s="2">
        <f t="shared" si="31"/>
        <v>0</v>
      </c>
      <c r="P46" s="2">
        <f t="shared" si="32"/>
        <v>0</v>
      </c>
      <c r="Q46" s="2">
        <f t="shared" si="33"/>
        <v>1.0016025641025641E-5</v>
      </c>
      <c r="R46" s="2">
        <f t="shared" si="34"/>
        <v>0</v>
      </c>
      <c r="S46" s="2">
        <f t="shared" si="35"/>
        <v>0</v>
      </c>
      <c r="T46" s="2">
        <f t="shared" si="36"/>
        <v>0</v>
      </c>
      <c r="U46" s="2">
        <f t="shared" si="40"/>
        <v>0.99998998397435901</v>
      </c>
      <c r="V46" s="2">
        <f t="shared" si="37"/>
        <v>0</v>
      </c>
    </row>
    <row r="47" spans="1:23" x14ac:dyDescent="0.3">
      <c r="A47" t="s">
        <v>70</v>
      </c>
      <c r="B47" s="7">
        <v>0</v>
      </c>
      <c r="C47" s="7">
        <v>0</v>
      </c>
      <c r="D47" s="7">
        <v>0</v>
      </c>
      <c r="E47" s="7">
        <v>6346</v>
      </c>
      <c r="F47" s="7">
        <v>0</v>
      </c>
      <c r="G47" s="7">
        <v>0</v>
      </c>
      <c r="H47" s="7">
        <v>0</v>
      </c>
      <c r="I47" s="7">
        <v>0</v>
      </c>
      <c r="J47" s="7">
        <v>1296194</v>
      </c>
      <c r="L47" s="7">
        <f t="shared" si="38"/>
        <v>1302540</v>
      </c>
      <c r="N47" s="2">
        <f t="shared" si="39"/>
        <v>0</v>
      </c>
      <c r="O47" s="2">
        <f t="shared" si="31"/>
        <v>0</v>
      </c>
      <c r="P47" s="2">
        <f t="shared" si="32"/>
        <v>0</v>
      </c>
      <c r="Q47" s="2">
        <f t="shared" si="33"/>
        <v>4.8720192853962258E-3</v>
      </c>
      <c r="R47" s="2">
        <f t="shared" si="34"/>
        <v>0</v>
      </c>
      <c r="S47" s="2">
        <f t="shared" si="35"/>
        <v>0</v>
      </c>
      <c r="T47" s="2">
        <f t="shared" si="36"/>
        <v>0</v>
      </c>
      <c r="U47" s="2">
        <f t="shared" si="40"/>
        <v>0</v>
      </c>
      <c r="V47" s="2">
        <f t="shared" si="37"/>
        <v>0.99512798071460373</v>
      </c>
    </row>
    <row r="48" spans="1:23" x14ac:dyDescent="0.3">
      <c r="K48" s="7">
        <f>SUM(B39,C40,D41,E42,F43,G44,H45,I46,J47)</f>
        <v>2588267</v>
      </c>
      <c r="L48" s="7">
        <f>SUM(L39:L47)</f>
        <v>2598960</v>
      </c>
      <c r="W48" s="2">
        <f>K48/L48</f>
        <v>0.9958856619570905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DDFD6-8E51-41DB-B2D5-4B4F2E56B533}">
  <dimension ref="A1:N23"/>
  <sheetViews>
    <sheetView workbookViewId="0">
      <selection activeCell="B9" sqref="B9"/>
    </sheetView>
  </sheetViews>
  <sheetFormatPr defaultRowHeight="14.4" x14ac:dyDescent="0.3"/>
  <cols>
    <col min="1" max="1" width="9.88671875" bestFit="1" customWidth="1"/>
    <col min="2" max="2" width="10" bestFit="1" customWidth="1"/>
    <col min="4" max="4" width="10" bestFit="1" customWidth="1"/>
  </cols>
  <sheetData>
    <row r="1" spans="1:14" x14ac:dyDescent="0.3">
      <c r="A1" t="s">
        <v>19</v>
      </c>
      <c r="B1" s="2" t="s">
        <v>6</v>
      </c>
      <c r="C1" t="s">
        <v>7</v>
      </c>
      <c r="D1" t="s">
        <v>56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  <c r="L1" t="s">
        <v>57</v>
      </c>
      <c r="M1" t="s">
        <v>71</v>
      </c>
    </row>
    <row r="2" spans="1:14" x14ac:dyDescent="0.3">
      <c r="A2" t="s">
        <v>61</v>
      </c>
      <c r="B2" s="2">
        <v>0.99070000000000003</v>
      </c>
      <c r="E2">
        <v>500</v>
      </c>
      <c r="F2">
        <v>50</v>
      </c>
      <c r="G2" t="b">
        <v>0</v>
      </c>
      <c r="H2">
        <v>0</v>
      </c>
      <c r="I2" t="b">
        <v>0</v>
      </c>
      <c r="J2">
        <v>0</v>
      </c>
      <c r="K2" s="6">
        <v>1E-3</v>
      </c>
      <c r="L2">
        <v>6184</v>
      </c>
      <c r="M2">
        <v>50</v>
      </c>
      <c r="N2" t="s">
        <v>73</v>
      </c>
    </row>
    <row r="3" spans="1:14" x14ac:dyDescent="0.3">
      <c r="A3" t="s">
        <v>61</v>
      </c>
      <c r="B3" s="2">
        <v>0.99060000000000004</v>
      </c>
      <c r="C3" s="3"/>
      <c r="D3" s="3"/>
      <c r="E3">
        <v>500</v>
      </c>
      <c r="F3">
        <v>50</v>
      </c>
      <c r="G3" t="b">
        <v>1</v>
      </c>
      <c r="H3">
        <v>50</v>
      </c>
      <c r="I3" t="b">
        <v>1</v>
      </c>
      <c r="J3">
        <v>50</v>
      </c>
      <c r="K3" s="6">
        <v>1E-4</v>
      </c>
      <c r="L3">
        <v>1650</v>
      </c>
      <c r="M3">
        <v>22</v>
      </c>
    </row>
    <row r="4" spans="1:14" x14ac:dyDescent="0.3">
      <c r="A4" t="s">
        <v>20</v>
      </c>
      <c r="B4" s="2">
        <v>0.99890000000000001</v>
      </c>
      <c r="C4" s="3">
        <v>7.646E-3</v>
      </c>
      <c r="D4" s="3">
        <v>1.13E-4</v>
      </c>
      <c r="E4">
        <v>500</v>
      </c>
      <c r="F4">
        <v>50</v>
      </c>
      <c r="G4" t="b">
        <v>1</v>
      </c>
      <c r="H4">
        <f>SUM($M$2:M3)</f>
        <v>72</v>
      </c>
      <c r="I4" t="b">
        <v>0</v>
      </c>
      <c r="J4">
        <v>0</v>
      </c>
      <c r="K4" s="6">
        <v>1E-3</v>
      </c>
      <c r="L4">
        <v>2839</v>
      </c>
      <c r="M4">
        <v>39</v>
      </c>
    </row>
    <row r="5" spans="1:14" x14ac:dyDescent="0.3">
      <c r="A5" t="s">
        <v>21</v>
      </c>
      <c r="B5" s="2">
        <v>1</v>
      </c>
      <c r="D5" s="3">
        <v>0.35081800000000002</v>
      </c>
      <c r="E5">
        <v>500</v>
      </c>
      <c r="F5">
        <v>100</v>
      </c>
      <c r="G5" t="b">
        <v>1</v>
      </c>
      <c r="H5">
        <f>SUM($M$2:M4)</f>
        <v>111</v>
      </c>
      <c r="I5" t="b">
        <v>0</v>
      </c>
      <c r="J5">
        <v>0</v>
      </c>
      <c r="K5" s="6">
        <v>1E-3</v>
      </c>
      <c r="L5">
        <v>263</v>
      </c>
      <c r="M5">
        <v>27</v>
      </c>
    </row>
    <row r="6" spans="1:14" x14ac:dyDescent="0.3">
      <c r="A6" t="s">
        <v>61</v>
      </c>
      <c r="B6" s="2">
        <v>0.9919</v>
      </c>
      <c r="C6" s="3"/>
      <c r="D6" s="3"/>
      <c r="E6">
        <v>500</v>
      </c>
      <c r="F6">
        <v>20</v>
      </c>
      <c r="G6" t="b">
        <v>1</v>
      </c>
      <c r="H6">
        <f>SUM($M$2:M5)</f>
        <v>138</v>
      </c>
      <c r="I6" t="b">
        <v>1</v>
      </c>
      <c r="J6">
        <f>J3+M3</f>
        <v>72</v>
      </c>
      <c r="K6" s="6">
        <v>1E-4</v>
      </c>
      <c r="L6">
        <v>1542</v>
      </c>
      <c r="M6">
        <v>20</v>
      </c>
      <c r="N6" t="s">
        <v>88</v>
      </c>
    </row>
    <row r="7" spans="1:14" x14ac:dyDescent="0.3">
      <c r="A7" t="s">
        <v>20</v>
      </c>
      <c r="B7" s="2">
        <v>0.9335</v>
      </c>
      <c r="C7" s="4">
        <v>3.6849E-2</v>
      </c>
      <c r="D7" s="3">
        <v>5.117E-3</v>
      </c>
      <c r="E7">
        <v>500</v>
      </c>
      <c r="F7">
        <v>20</v>
      </c>
      <c r="G7" t="b">
        <v>1</v>
      </c>
      <c r="H7">
        <f>SUM($M$2:M6)</f>
        <v>158</v>
      </c>
      <c r="I7" t="b">
        <v>1</v>
      </c>
      <c r="J7">
        <f>J4+M4</f>
        <v>39</v>
      </c>
      <c r="K7" s="6">
        <v>1E-4</v>
      </c>
      <c r="L7">
        <v>1587</v>
      </c>
      <c r="M7">
        <v>20</v>
      </c>
    </row>
    <row r="8" spans="1:14" x14ac:dyDescent="0.3">
      <c r="A8" t="s">
        <v>21</v>
      </c>
      <c r="B8" s="2">
        <v>1</v>
      </c>
      <c r="D8" s="3">
        <v>0.28561599999999998</v>
      </c>
      <c r="E8">
        <v>500</v>
      </c>
      <c r="F8">
        <v>100</v>
      </c>
      <c r="G8" t="b">
        <v>1</v>
      </c>
      <c r="H8">
        <f>SUM($M$2:M7)</f>
        <v>178</v>
      </c>
      <c r="I8" t="b">
        <v>1</v>
      </c>
      <c r="J8">
        <f>J5+M5</f>
        <v>27</v>
      </c>
      <c r="K8" s="6">
        <v>1E-4</v>
      </c>
      <c r="L8">
        <v>211</v>
      </c>
      <c r="M8">
        <v>21</v>
      </c>
    </row>
    <row r="9" spans="1:14" x14ac:dyDescent="0.3">
      <c r="A9" t="s">
        <v>61</v>
      </c>
      <c r="B9" s="2">
        <v>0.99590000000000001</v>
      </c>
      <c r="C9" s="3"/>
      <c r="D9" s="3">
        <v>1.7110000000000001E-3</v>
      </c>
      <c r="E9">
        <v>500</v>
      </c>
      <c r="F9">
        <v>50</v>
      </c>
      <c r="G9" t="b">
        <v>1</v>
      </c>
      <c r="H9">
        <f>SUM($M$2:M8)</f>
        <v>199</v>
      </c>
      <c r="I9" t="b">
        <v>1</v>
      </c>
      <c r="J9">
        <f>J6+M6</f>
        <v>92</v>
      </c>
      <c r="K9" s="6">
        <v>1E-4</v>
      </c>
      <c r="L9">
        <v>19998</v>
      </c>
      <c r="M9">
        <v>49</v>
      </c>
      <c r="N9" t="s">
        <v>73</v>
      </c>
    </row>
    <row r="10" spans="1:14" x14ac:dyDescent="0.3">
      <c r="A10" t="s">
        <v>20</v>
      </c>
      <c r="B10" s="2">
        <v>0.94799999999999995</v>
      </c>
      <c r="C10" s="4">
        <v>5.6387E-2</v>
      </c>
      <c r="D10" s="3">
        <v>8.09E-3</v>
      </c>
      <c r="E10">
        <v>500</v>
      </c>
      <c r="F10">
        <v>50</v>
      </c>
      <c r="G10" t="b">
        <v>1</v>
      </c>
      <c r="H10">
        <f>SUM($M$2:M9)</f>
        <v>248</v>
      </c>
      <c r="I10" t="b">
        <v>1</v>
      </c>
      <c r="J10">
        <f>J7+M7</f>
        <v>59</v>
      </c>
      <c r="K10" s="6">
        <v>1E-4</v>
      </c>
      <c r="L10">
        <v>2536</v>
      </c>
      <c r="M10">
        <v>33</v>
      </c>
    </row>
    <row r="11" spans="1:14" x14ac:dyDescent="0.3">
      <c r="A11" t="s">
        <v>21</v>
      </c>
      <c r="B11" s="2">
        <v>1</v>
      </c>
      <c r="C11" s="3"/>
      <c r="D11" s="3">
        <v>1.0303E-2</v>
      </c>
      <c r="E11">
        <v>500</v>
      </c>
      <c r="F11">
        <v>100</v>
      </c>
      <c r="G11" t="b">
        <v>1</v>
      </c>
      <c r="H11">
        <f>SUM($M$2:M10)</f>
        <v>281</v>
      </c>
      <c r="I11" t="b">
        <v>1</v>
      </c>
      <c r="J11">
        <f>J8+M8</f>
        <v>48</v>
      </c>
      <c r="K11" s="6">
        <v>1E-4</v>
      </c>
      <c r="L11">
        <v>244</v>
      </c>
      <c r="M11">
        <v>27</v>
      </c>
    </row>
    <row r="12" spans="1:14" x14ac:dyDescent="0.3">
      <c r="A12" t="s">
        <v>61</v>
      </c>
      <c r="B12" s="2"/>
      <c r="D12" s="3"/>
      <c r="K12" s="6"/>
    </row>
    <row r="13" spans="1:14" x14ac:dyDescent="0.3">
      <c r="A13" t="s">
        <v>20</v>
      </c>
      <c r="B13" s="2"/>
      <c r="C13" s="3"/>
      <c r="D13" s="3"/>
      <c r="K13" s="6"/>
    </row>
    <row r="14" spans="1:14" x14ac:dyDescent="0.3">
      <c r="A14" t="s">
        <v>21</v>
      </c>
      <c r="B14" s="2"/>
      <c r="D14" s="3"/>
      <c r="K14" s="6"/>
    </row>
    <row r="15" spans="1:14" x14ac:dyDescent="0.3">
      <c r="A15" t="s">
        <v>61</v>
      </c>
      <c r="B15" s="2"/>
      <c r="C15" s="3"/>
      <c r="D15" s="3"/>
      <c r="K15" s="6"/>
    </row>
    <row r="16" spans="1:14" x14ac:dyDescent="0.3">
      <c r="A16" t="s">
        <v>20</v>
      </c>
      <c r="B16" s="2"/>
      <c r="D16" s="3"/>
      <c r="K16" s="6"/>
    </row>
    <row r="17" spans="1:11" x14ac:dyDescent="0.3">
      <c r="A17" t="s">
        <v>21</v>
      </c>
      <c r="B17" s="2"/>
      <c r="C17" s="3"/>
      <c r="D17" s="3"/>
      <c r="K17" s="6"/>
    </row>
    <row r="18" spans="1:11" x14ac:dyDescent="0.3">
      <c r="A18" t="s">
        <v>61</v>
      </c>
      <c r="B18" s="2"/>
      <c r="D18" s="3"/>
      <c r="K18" s="6"/>
    </row>
    <row r="19" spans="1:11" x14ac:dyDescent="0.3">
      <c r="A19" t="s">
        <v>20</v>
      </c>
      <c r="B19" s="2"/>
      <c r="C19" s="3"/>
      <c r="D19" s="3"/>
      <c r="K19" s="6"/>
    </row>
    <row r="20" spans="1:11" x14ac:dyDescent="0.3">
      <c r="A20" t="s">
        <v>21</v>
      </c>
      <c r="B20" s="2"/>
      <c r="D20" s="3"/>
      <c r="K20" s="6"/>
    </row>
    <row r="21" spans="1:11" x14ac:dyDescent="0.3">
      <c r="A21" t="s">
        <v>61</v>
      </c>
      <c r="B21" s="2"/>
      <c r="C21" s="3"/>
      <c r="D21" s="3"/>
      <c r="K21" s="6"/>
    </row>
    <row r="22" spans="1:11" x14ac:dyDescent="0.3">
      <c r="A22" t="s">
        <v>20</v>
      </c>
      <c r="B22" s="2"/>
      <c r="D22" s="3"/>
      <c r="K22" s="6"/>
    </row>
    <row r="23" spans="1:11" x14ac:dyDescent="0.3">
      <c r="A23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Separate Encoders</vt:lpstr>
      <vt:lpstr>Shared Encoders</vt:lpstr>
      <vt:lpstr>Ace low all suit conv</vt:lpstr>
      <vt:lpstr>Category Training</vt:lpstr>
      <vt:lpstr>Embedding Explain</vt:lpstr>
      <vt:lpstr>Confusion Matrices</vt:lpstr>
      <vt:lpstr>Category Training - Weighted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Collier</dc:creator>
  <cp:lastModifiedBy>David Collier</cp:lastModifiedBy>
  <dcterms:created xsi:type="dcterms:W3CDTF">2025-11-08T03:41:27Z</dcterms:created>
  <dcterms:modified xsi:type="dcterms:W3CDTF">2025-12-26T08:16:46Z</dcterms:modified>
</cp:coreProperties>
</file>